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s" sheetId="1" state="visible" r:id="rId3"/>
    <sheet name="Archived projects" sheetId="2" state="visible" r:id="rId4"/>
    <sheet name="Invoices" sheetId="3" state="visible" r:id="rId5"/>
    <sheet name="Summary (read only)" sheetId="4" state="visible" r:id="rId6"/>
  </sheets>
  <definedNames>
    <definedName function="false" hidden="true" localSheetId="2" name="_xlnm._FilterDatabase" vbProcedure="false">Invoices!$A$4:$L$45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Ledger</author>
  </authors>
  <commentList>
    <comment ref="K4" authorId="0">
      <text>
        <r>
          <rPr>
            <sz val="10"/>
            <rFont val="Arial"/>
            <family val="2"/>
          </rPr>
          <t xml:space="preserve">Manual reference only — the original native-currency amount. Not used in any calculation and has no effect on the ledger.</t>
        </r>
      </text>
    </comment>
  </commentList>
</comments>
</file>

<file path=xl/sharedStrings.xml><?xml version="1.0" encoding="utf-8"?>
<sst xmlns="http://schemas.openxmlformats.org/spreadsheetml/2006/main" count="67" uniqueCount="53">
  <si>
    <t xml:space="preserve">Projects</t>
  </si>
  <si>
    <t xml:space="preserve">One row per project; its invoices list underneath (auto from the Project tag on Invoices). To add a project, fill in the next empty row (name + total value) — it appears in the Invoices dropdown and totals automatically. Blue = editable, black = formula.</t>
  </si>
  <si>
    <t xml:space="preserve">Project</t>
  </si>
  <si>
    <t xml:space="preserve">Client</t>
  </si>
  <si>
    <t xml:space="preserve">Status</t>
  </si>
  <si>
    <t xml:space="preserve">Total value</t>
  </si>
  <si>
    <t xml:space="preserve">Original value</t>
  </si>
  <si>
    <t xml:space="preserve">Billed</t>
  </si>
  <si>
    <t xml:space="preserve">Unbilled</t>
  </si>
  <si>
    <t xml:space="preserve">Sample Project</t>
  </si>
  <si>
    <t xml:space="preserve">Acme Corp</t>
  </si>
  <si>
    <t xml:space="preserve">Active</t>
  </si>
  <si>
    <t xml:space="preserve">$12,000</t>
  </si>
  <si>
    <t xml:space="preserve">TOTAL</t>
  </si>
  <si>
    <t xml:space="preserve">Archived projects</t>
  </si>
  <si>
    <t xml:space="preserve">Total billed (finalized):</t>
  </si>
  <si>
    <t xml:space="preserve">When a project is finished: copy its row from the Projects tab here (paste as VALUES), then clear that row on the Projects tab to free the slot. Invoices keep their project tag, so their history and the invoice/quarter totals are unaffected. Do not re-use an archived project name for a new project.</t>
  </si>
  <si>
    <t xml:space="preserve">Billed (final)</t>
  </si>
  <si>
    <t xml:space="preserve">Unbilled (final)</t>
  </si>
  <si>
    <t xml:space="preserve">Date finalized</t>
  </si>
  <si>
    <t xml:space="preserve">Notes</t>
  </si>
  <si>
    <t xml:space="preserve">Example: Old Website Project</t>
  </si>
  <si>
    <t xml:space="preserve">$6,000</t>
  </si>
  <si>
    <t xml:space="preserve">Completed — invoices stay tagged on the Invoices tab</t>
  </si>
  <si>
    <t xml:space="preserve">Invoices</t>
  </si>
  <si>
    <t xml:space="preserve">Blue cells are yours to fill. Value/Days to Due/PDF Link calculate automatically. Paste a file path in PDF Path (e.g. C:\Invoices\INV-001.pdf) and PDF Link becomes clickable.</t>
  </si>
  <si>
    <t xml:space="preserve">Invoice #</t>
  </si>
  <si>
    <t xml:space="preserve">Value</t>
  </si>
  <si>
    <t xml:space="preserve">PDF Link</t>
  </si>
  <si>
    <t xml:space="preserve">Issue Date</t>
  </si>
  <si>
    <t xml:space="preserve">Due Date</t>
  </si>
  <si>
    <t xml:space="preserve">Days to Due</t>
  </si>
  <si>
    <t xml:space="preserve">Payment Date</t>
  </si>
  <si>
    <t xml:space="preserve">Period</t>
  </si>
  <si>
    <t xml:space="preserve">012026</t>
  </si>
  <si>
    <t xml:space="preserve">Pending payment</t>
  </si>
  <si>
    <t xml:space="preserve">Ledger Summary</t>
  </si>
  <si>
    <t xml:space="preserve">Auto-calculated from the Projects and Invoices tabs.</t>
  </si>
  <si>
    <t xml:space="preserve">Total project value</t>
  </si>
  <si>
    <t xml:space="preserve">Invoiced to date</t>
  </si>
  <si>
    <t xml:space="preserve">Remaining value</t>
  </si>
  <si>
    <t xml:space="preserve">Total invoiced (all)</t>
  </si>
  <si>
    <t xml:space="preserve">Outstanding (unpaid)</t>
  </si>
  <si>
    <t xml:space="preserve">Paid</t>
  </si>
  <si>
    <t xml:space="preserve">Overdue (unpaid &amp; past due)</t>
  </si>
  <si>
    <t xml:space="preserve">Issued by period (by issue date)</t>
  </si>
  <si>
    <t xml:space="preserve">Amount</t>
  </si>
  <si>
    <t xml:space="preserve"># inv</t>
  </si>
  <si>
    <t xml:space="preserve">This quarter</t>
  </si>
  <si>
    <t xml:space="preserve">Last quarter</t>
  </si>
  <si>
    <t xml:space="preserve">This year</t>
  </si>
  <si>
    <t xml:space="preserve">Last year</t>
  </si>
  <si>
    <t xml:space="preserve">Auto-updates with today's date.</t>
  </si>
</sst>
</file>

<file path=xl/styles.xml><?xml version="1.0" encoding="utf-8"?>
<styleSheet xmlns="http://schemas.openxmlformats.org/spreadsheetml/2006/main">
  <numFmts count="5">
    <numFmt numFmtId="164" formatCode="General"/>
    <numFmt numFmtId="165" formatCode="\€#,##0.00"/>
    <numFmt numFmtId="166" formatCode="dd/mm/yyyy"/>
    <numFmt numFmtId="167" formatCode="0;\-0"/>
    <numFmt numFmtId="168" formatCode="mm/dd/yy"/>
  </numFmts>
  <fonts count="21">
    <font>
      <sz val="11"/>
      <color theme="1"/>
      <name val="Calibri"/>
      <family val="2"/>
      <charset val="1"/>
    </font>
    <font>
      <sz val="10"/>
      <name val="Arial"/>
      <family val="0"/>
    </font>
    <font>
      <sz val="10"/>
      <name val="Arial"/>
      <family val="0"/>
    </font>
    <font>
      <sz val="10"/>
      <name val="Arial"/>
      <family val="0"/>
    </font>
    <font>
      <b val="true"/>
      <sz val="11"/>
      <color rgb="FF1F3864"/>
      <name val="Arial"/>
      <family val="0"/>
      <charset val="1"/>
    </font>
    <font>
      <i val="true"/>
      <sz val="11"/>
      <color rgb="FF595959"/>
      <name val="Arial"/>
      <family val="0"/>
      <charset val="1"/>
    </font>
    <font>
      <b val="true"/>
      <sz val="11"/>
      <color rgb="FFFFFFFF"/>
      <name val="Arial"/>
      <family val="0"/>
      <charset val="1"/>
    </font>
    <font>
      <sz val="11"/>
      <color rgb="FF0000FF"/>
      <name val="Arial"/>
      <family val="0"/>
      <charset val="1"/>
    </font>
    <font>
      <sz val="11"/>
      <color rgb="FF000000"/>
      <name val="Arial"/>
      <family val="0"/>
      <charset val="1"/>
    </font>
    <font>
      <sz val="11"/>
      <color rgb="FF404040"/>
      <name val="Arial"/>
      <family val="0"/>
      <charset val="1"/>
    </font>
    <font>
      <b val="true"/>
      <sz val="11"/>
      <name val="Arial"/>
      <family val="0"/>
      <charset val="1"/>
    </font>
    <font>
      <b val="true"/>
      <sz val="13"/>
      <color rgb="FF1F3864"/>
      <name val="Arial"/>
      <family val="0"/>
      <charset val="1"/>
    </font>
    <font>
      <i val="true"/>
      <sz val="11"/>
      <color rgb="FF808080"/>
      <name val="Arial"/>
      <family val="0"/>
      <charset val="1"/>
    </font>
    <font>
      <b val="true"/>
      <sz val="16"/>
      <color rgb="FF1F3864"/>
      <name val="Arial"/>
      <family val="0"/>
      <charset val="1"/>
    </font>
    <font>
      <i val="true"/>
      <sz val="9"/>
      <color rgb="FF595959"/>
      <name val="Arial"/>
      <family val="0"/>
      <charset val="1"/>
    </font>
    <font>
      <u val="single"/>
      <sz val="11"/>
      <color rgb="FF0563C1"/>
      <name val="Arial"/>
      <family val="0"/>
      <charset val="1"/>
    </font>
    <font>
      <sz val="10"/>
      <name val="Arial"/>
      <family val="0"/>
      <charset val="1"/>
    </font>
    <font>
      <sz val="10"/>
      <name val="Arial"/>
      <family val="2"/>
    </font>
    <font>
      <b val="true"/>
      <sz val="12"/>
      <color rgb="FF1F3864"/>
      <name val="Arial"/>
      <family val="0"/>
      <charset val="1"/>
    </font>
    <font>
      <sz val="11"/>
      <name val="Arial"/>
      <family val="0"/>
      <charset val="1"/>
    </font>
    <font>
      <b val="true"/>
      <sz val="9"/>
      <color rgb="FF595959"/>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D9E1F2"/>
        <bgColor rgb="FFBDD7EE"/>
      </patternFill>
    </fill>
    <fill>
      <patternFill patternType="solid">
        <fgColor rgb="FFBDD7EE"/>
        <bgColor rgb="FFD9E1F2"/>
      </patternFill>
    </fill>
    <fill>
      <patternFill patternType="solid">
        <fgColor rgb="FFFF4000"/>
        <bgColor rgb="FFFF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3"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5" fontId="10"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FF4000"/>
          <bgColor rgb="FF000000"/>
        </patternFill>
      </fill>
    </dxf>
    <dxf>
      <fill>
        <patternFill patternType="solid">
          <fgColor rgb="FF0563C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1F2"/>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8"/>
    <col collapsed="false" customWidth="true" hidden="true" outlineLevel="0" max="3" min="3" style="1" width="12"/>
    <col collapsed="false" customWidth="true" hidden="false" outlineLevel="0" max="7" min="4" style="1" width="13"/>
    <col collapsed="false" customWidth="true" hidden="true" outlineLevel="0" max="12" min="9" style="1" width="13"/>
    <col collapsed="false" customWidth="true" hidden="true" outlineLevel="0" max="14" min="14" style="1" width="13"/>
  </cols>
  <sheetData>
    <row r="1" customFormat="false" ht="15" hidden="false" customHeight="true" outlineLevel="0" collapsed="false">
      <c r="A1" s="2" t="s">
        <v>0</v>
      </c>
      <c r="N1" s="1" t="str">
        <f aca="false">IF(A5="","",A5)</f>
        <v>Sample Project</v>
      </c>
    </row>
    <row r="2" customFormat="false" ht="15" hidden="false" customHeight="true" outlineLevel="0" collapsed="false">
      <c r="A2" s="3" t="s">
        <v>1</v>
      </c>
      <c r="N2" s="1" t="str">
        <f aca="false">IF(A12="","",A12)</f>
        <v/>
      </c>
    </row>
    <row r="3" customFormat="false" ht="15" hidden="false" customHeight="true" outlineLevel="0" collapsed="false">
      <c r="N3" s="1" t="str">
        <f aca="false">IF(A19="","",A19)</f>
        <v/>
      </c>
    </row>
    <row r="4" customFormat="false" ht="26.25" hidden="false" customHeight="true" outlineLevel="0" collapsed="false">
      <c r="A4" s="4" t="s">
        <v>2</v>
      </c>
      <c r="B4" s="4" t="s">
        <v>3</v>
      </c>
      <c r="C4" s="4" t="s">
        <v>4</v>
      </c>
      <c r="D4" s="4" t="s">
        <v>5</v>
      </c>
      <c r="E4" s="4" t="s">
        <v>6</v>
      </c>
      <c r="F4" s="4" t="s">
        <v>7</v>
      </c>
      <c r="G4" s="4" t="s">
        <v>8</v>
      </c>
      <c r="N4" s="1" t="str">
        <f aca="false">IF(A26="","",A26)</f>
        <v/>
      </c>
    </row>
    <row r="5" customFormat="false" ht="15" hidden="false" customHeight="true" outlineLevel="0" collapsed="false">
      <c r="A5" s="5" t="s">
        <v>9</v>
      </c>
      <c r="B5" s="6" t="s">
        <v>10</v>
      </c>
      <c r="C5" s="6" t="s">
        <v>11</v>
      </c>
      <c r="D5" s="7" t="n">
        <v>10000</v>
      </c>
      <c r="E5" s="6" t="s">
        <v>12</v>
      </c>
      <c r="F5" s="8" t="n">
        <f aca="false">IF($A$5="","",SUMIF(Invoices!$J$5:$J$44,$A$5,Invoices!$C$5:$C$44))</f>
        <v>1000</v>
      </c>
      <c r="G5" s="8" t="n">
        <f aca="false">IF($A$5="","",D5-F5)</f>
        <v>9000</v>
      </c>
      <c r="I5" s="1" t="str">
        <f aca="false">IF(Invoices!J5="","",Invoices!J5&amp;"#"&amp;COUNTIFS(Invoices!$J$5:$J5,Invoices!J5))</f>
        <v>Sample Project#1</v>
      </c>
      <c r="J5" s="1" t="str">
        <f aca="false">Invoices!A5</f>
        <v>012026</v>
      </c>
      <c r="K5" s="9" t="n">
        <f aca="false">Invoices!E5</f>
        <v>46037</v>
      </c>
      <c r="L5" s="10" t="n">
        <f aca="false">Invoices!C5</f>
        <v>1000</v>
      </c>
      <c r="N5" s="1" t="str">
        <f aca="false">IF(A33="","",A33)</f>
        <v/>
      </c>
    </row>
    <row r="6" customFormat="false" ht="15" hidden="false" customHeight="true" outlineLevel="0" collapsed="false">
      <c r="A6" s="11" t="str">
        <f aca="false">IFERROR(INDEX($J$5:$J$44,MATCH($A$5&amp;"#"&amp;1,$I$5:$I$44,0)),"")</f>
        <v>012026</v>
      </c>
      <c r="B6" s="12" t="n">
        <f aca="false">IFERROR(INDEX($K$5:$K$44,MATCH($A$5&amp;"#"&amp;1,$I$5:$I$44,0)),"")</f>
        <v>46037</v>
      </c>
      <c r="F6" s="13" t="n">
        <f aca="false">IFERROR(INDEX($L$5:$L$44,MATCH($A$5&amp;"#"&amp;1,$I$5:$I$44,0)),"")</f>
        <v>1000</v>
      </c>
      <c r="I6" s="1" t="str">
        <f aca="false">IF(Invoices!J6="","",Invoices!J6&amp;"#"&amp;COUNTIFS(Invoices!$J$5:$J6,Invoices!J6))</f>
        <v/>
      </c>
      <c r="J6" s="1" t="n">
        <f aca="false">Invoices!A6</f>
        <v>0</v>
      </c>
      <c r="K6" s="9" t="n">
        <f aca="false">Invoices!E6</f>
        <v>0</v>
      </c>
      <c r="L6" s="10" t="n">
        <f aca="false">Invoices!C6</f>
        <v>0</v>
      </c>
      <c r="N6" s="1" t="str">
        <f aca="false">IF(A40="","",A40)</f>
        <v/>
      </c>
    </row>
    <row r="7" customFormat="false" ht="15" hidden="false" customHeight="true" outlineLevel="0" collapsed="false">
      <c r="A7" s="11" t="str">
        <f aca="false">IFERROR(INDEX($J$5:$J$44,MATCH($A$5&amp;"#"&amp;2,$I$5:$I$44,0)),"")</f>
        <v/>
      </c>
      <c r="B7" s="12" t="str">
        <f aca="false">IFERROR(INDEX($K$5:$K$44,MATCH($A$5&amp;"#"&amp;2,$I$5:$I$44,0)),"")</f>
        <v/>
      </c>
      <c r="F7" s="13" t="str">
        <f aca="false">IFERROR(INDEX($L$5:$L$44,MATCH($A$5&amp;"#"&amp;2,$I$5:$I$44,0)),"")</f>
        <v/>
      </c>
      <c r="I7" s="1" t="str">
        <f aca="false">IF(Invoices!J7="","",Invoices!J7&amp;"#"&amp;COUNTIFS(Invoices!$J$5:$J7,Invoices!J7))</f>
        <v/>
      </c>
      <c r="J7" s="1" t="n">
        <f aca="false">Invoices!A7</f>
        <v>0</v>
      </c>
      <c r="K7" s="9" t="n">
        <f aca="false">Invoices!E7</f>
        <v>0</v>
      </c>
      <c r="L7" s="10" t="n">
        <f aca="false">Invoices!C7</f>
        <v>0</v>
      </c>
      <c r="N7" s="1" t="str">
        <f aca="false">IF(A47="","",A47)</f>
        <v/>
      </c>
    </row>
    <row r="8" customFormat="false" ht="15" hidden="false" customHeight="true" outlineLevel="0" collapsed="false">
      <c r="A8" s="11" t="str">
        <f aca="false">IFERROR(INDEX($J$5:$J$44,MATCH($A$5&amp;"#"&amp;3,$I$5:$I$44,0)),"")</f>
        <v/>
      </c>
      <c r="B8" s="12" t="str">
        <f aca="false">IFERROR(INDEX($K$5:$K$44,MATCH($A$5&amp;"#"&amp;3,$I$5:$I$44,0)),"")</f>
        <v/>
      </c>
      <c r="F8" s="13" t="str">
        <f aca="false">IFERROR(INDEX($L$5:$L$44,MATCH($A$5&amp;"#"&amp;3,$I$5:$I$44,0)),"")</f>
        <v/>
      </c>
      <c r="I8" s="1" t="str">
        <f aca="false">IF(Invoices!J8="","",Invoices!J8&amp;"#"&amp;COUNTIFS(Invoices!$J$5:$J8,Invoices!J8))</f>
        <v/>
      </c>
      <c r="J8" s="1" t="n">
        <f aca="false">Invoices!A8</f>
        <v>0</v>
      </c>
      <c r="K8" s="9" t="n">
        <f aca="false">Invoices!E8</f>
        <v>0</v>
      </c>
      <c r="L8" s="10" t="n">
        <f aca="false">Invoices!C8</f>
        <v>0</v>
      </c>
      <c r="N8" s="1" t="str">
        <f aca="false">IF(A54="","",A54)</f>
        <v/>
      </c>
    </row>
    <row r="9" customFormat="false" ht="15" hidden="false" customHeight="true" outlineLevel="0" collapsed="false">
      <c r="A9" s="11" t="str">
        <f aca="false">IFERROR(INDEX($J$5:$J$44,MATCH($A$5&amp;"#"&amp;4,$I$5:$I$44,0)),"")</f>
        <v/>
      </c>
      <c r="B9" s="12" t="str">
        <f aca="false">IFERROR(INDEX($K$5:$K$44,MATCH($A$5&amp;"#"&amp;4,$I$5:$I$44,0)),"")</f>
        <v/>
      </c>
      <c r="F9" s="13" t="str">
        <f aca="false">IFERROR(INDEX($L$5:$L$44,MATCH($A$5&amp;"#"&amp;4,$I$5:$I$44,0)),"")</f>
        <v/>
      </c>
      <c r="I9" s="1" t="str">
        <f aca="false">IF(Invoices!J9="","",Invoices!J9&amp;"#"&amp;COUNTIFS(Invoices!$J$5:$J9,Invoices!J9))</f>
        <v/>
      </c>
      <c r="J9" s="1" t="n">
        <f aca="false">Invoices!A9</f>
        <v>0</v>
      </c>
      <c r="K9" s="9" t="n">
        <f aca="false">Invoices!E9</f>
        <v>0</v>
      </c>
      <c r="L9" s="10" t="n">
        <f aca="false">Invoices!C9</f>
        <v>0</v>
      </c>
      <c r="N9" s="1" t="str">
        <f aca="false">IF(A61="","",A61)</f>
        <v/>
      </c>
    </row>
    <row r="10" customFormat="false" ht="15" hidden="false" customHeight="true" outlineLevel="0" collapsed="false">
      <c r="A10" s="11" t="str">
        <f aca="false">IFERROR(INDEX($J$5:$J$44,MATCH($A$5&amp;"#"&amp;5,$I$5:$I$44,0)),"")</f>
        <v/>
      </c>
      <c r="B10" s="12" t="str">
        <f aca="false">IFERROR(INDEX($K$5:$K$44,MATCH($A$5&amp;"#"&amp;5,$I$5:$I$44,0)),"")</f>
        <v/>
      </c>
      <c r="F10" s="13" t="str">
        <f aca="false">IFERROR(INDEX($L$5:$L$44,MATCH($A$5&amp;"#"&amp;5,$I$5:$I$44,0)),"")</f>
        <v/>
      </c>
      <c r="I10" s="1" t="str">
        <f aca="false">IF(Invoices!J10="","",Invoices!J10&amp;"#"&amp;COUNTIFS(Invoices!$J$5:$J10,Invoices!J10))</f>
        <v/>
      </c>
      <c r="J10" s="1" t="n">
        <f aca="false">Invoices!A10</f>
        <v>0</v>
      </c>
      <c r="K10" s="9" t="n">
        <f aca="false">Invoices!E10</f>
        <v>0</v>
      </c>
      <c r="L10" s="10" t="n">
        <f aca="false">Invoices!C10</f>
        <v>0</v>
      </c>
      <c r="N10" s="1" t="str">
        <f aca="false">IF(A68="","",A68)</f>
        <v/>
      </c>
    </row>
    <row r="11" customFormat="false" ht="15" hidden="false" customHeight="true" outlineLevel="0" collapsed="false">
      <c r="A11" s="11" t="str">
        <f aca="false">IFERROR(INDEX($J$5:$J$44,MATCH($A$5&amp;"#"&amp;6,$I$5:$I$44,0)),"")</f>
        <v/>
      </c>
      <c r="B11" s="12" t="str">
        <f aca="false">IFERROR(INDEX($K$5:$K$44,MATCH($A$5&amp;"#"&amp;6,$I$5:$I$44,0)),"")</f>
        <v/>
      </c>
      <c r="F11" s="13" t="str">
        <f aca="false">IFERROR(INDEX($L$5:$L$44,MATCH($A$5&amp;"#"&amp;6,$I$5:$I$44,0)),"")</f>
        <v/>
      </c>
      <c r="I11" s="1" t="str">
        <f aca="false">IF(Invoices!J11="","",Invoices!J11&amp;"#"&amp;COUNTIFS(Invoices!$J$5:$J11,Invoices!J11))</f>
        <v/>
      </c>
      <c r="J11" s="1" t="n">
        <f aca="false">Invoices!A11</f>
        <v>0</v>
      </c>
      <c r="K11" s="9" t="n">
        <f aca="false">Invoices!E11</f>
        <v>0</v>
      </c>
      <c r="L11" s="10" t="n">
        <f aca="false">Invoices!C11</f>
        <v>0</v>
      </c>
    </row>
    <row r="12" customFormat="false" ht="15" hidden="false" customHeight="true" outlineLevel="0" collapsed="false">
      <c r="A12" s="5"/>
      <c r="B12" s="6"/>
      <c r="C12" s="6"/>
      <c r="D12" s="7"/>
      <c r="E12" s="6"/>
      <c r="F12" s="8" t="str">
        <f aca="false">IF($A$12="","",SUMIF(Invoices!$J$5:$J$44,$A$12,Invoices!$C$5:$C$44))</f>
        <v/>
      </c>
      <c r="G12" s="8" t="str">
        <f aca="false">IF($A$12="","",D12-F12)</f>
        <v/>
      </c>
      <c r="I12" s="1" t="str">
        <f aca="false">IF(Invoices!J12="","",Invoices!J12&amp;"#"&amp;COUNTIFS(Invoices!$J$5:$J12,Invoices!J12))</f>
        <v/>
      </c>
      <c r="J12" s="1" t="n">
        <f aca="false">Invoices!A12</f>
        <v>0</v>
      </c>
      <c r="K12" s="9" t="n">
        <f aca="false">Invoices!E12</f>
        <v>0</v>
      </c>
      <c r="L12" s="10" t="n">
        <f aca="false">Invoices!C12</f>
        <v>0</v>
      </c>
    </row>
    <row r="13" customFormat="false" ht="15" hidden="false" customHeight="true" outlineLevel="0" collapsed="false">
      <c r="A13" s="11" t="str">
        <f aca="false">IFERROR(INDEX($J$5:$J$44,MATCH($A$12&amp;"#"&amp;1,$I$5:$I$44,0)),"")</f>
        <v/>
      </c>
      <c r="B13" s="12" t="str">
        <f aca="false">IFERROR(INDEX($K$5:$K$44,MATCH($A$12&amp;"#"&amp;1,$I$5:$I$44,0)),"")</f>
        <v/>
      </c>
      <c r="F13" s="13" t="str">
        <f aca="false">IFERROR(INDEX($L$5:$L$44,MATCH($A$12&amp;"#"&amp;1,$I$5:$I$44,0)),"")</f>
        <v/>
      </c>
      <c r="I13" s="1" t="str">
        <f aca="false">IF(Invoices!J13="","",Invoices!J13&amp;"#"&amp;COUNTIFS(Invoices!$J$5:$J13,Invoices!J13))</f>
        <v/>
      </c>
      <c r="J13" s="1" t="n">
        <f aca="false">Invoices!A13</f>
        <v>0</v>
      </c>
      <c r="K13" s="9" t="n">
        <f aca="false">Invoices!E13</f>
        <v>0</v>
      </c>
      <c r="L13" s="10" t="n">
        <f aca="false">Invoices!C13</f>
        <v>0</v>
      </c>
    </row>
    <row r="14" customFormat="false" ht="15" hidden="false" customHeight="true" outlineLevel="0" collapsed="false">
      <c r="A14" s="11" t="str">
        <f aca="false">IFERROR(INDEX($J$5:$J$44,MATCH($A$12&amp;"#"&amp;2,$I$5:$I$44,0)),"")</f>
        <v/>
      </c>
      <c r="B14" s="12" t="str">
        <f aca="false">IFERROR(INDEX($K$5:$K$44,MATCH($A$12&amp;"#"&amp;2,$I$5:$I$44,0)),"")</f>
        <v/>
      </c>
      <c r="F14" s="13" t="str">
        <f aca="false">IFERROR(INDEX($L$5:$L$44,MATCH($A$12&amp;"#"&amp;2,$I$5:$I$44,0)),"")</f>
        <v/>
      </c>
      <c r="I14" s="1" t="str">
        <f aca="false">IF(Invoices!J14="","",Invoices!J14&amp;"#"&amp;COUNTIFS(Invoices!$J$5:$J14,Invoices!J14))</f>
        <v/>
      </c>
      <c r="J14" s="1" t="n">
        <f aca="false">Invoices!A14</f>
        <v>0</v>
      </c>
      <c r="K14" s="9" t="n">
        <f aca="false">Invoices!E14</f>
        <v>0</v>
      </c>
      <c r="L14" s="10" t="n">
        <f aca="false">Invoices!C14</f>
        <v>0</v>
      </c>
    </row>
    <row r="15" customFormat="false" ht="15" hidden="false" customHeight="true" outlineLevel="0" collapsed="false">
      <c r="A15" s="11" t="str">
        <f aca="false">IFERROR(INDEX($J$5:$J$44,MATCH($A$12&amp;"#"&amp;3,$I$5:$I$44,0)),"")</f>
        <v/>
      </c>
      <c r="B15" s="12" t="str">
        <f aca="false">IFERROR(INDEX($K$5:$K$44,MATCH($A$12&amp;"#"&amp;3,$I$5:$I$44,0)),"")</f>
        <v/>
      </c>
      <c r="F15" s="13" t="str">
        <f aca="false">IFERROR(INDEX($L$5:$L$44,MATCH($A$12&amp;"#"&amp;3,$I$5:$I$44,0)),"")</f>
        <v/>
      </c>
      <c r="I15" s="1" t="str">
        <f aca="false">IF(Invoices!J15="","",Invoices!J15&amp;"#"&amp;COUNTIFS(Invoices!$J$5:$J15,Invoices!J15))</f>
        <v/>
      </c>
      <c r="J15" s="1" t="n">
        <f aca="false">Invoices!A15</f>
        <v>0</v>
      </c>
      <c r="K15" s="9" t="n">
        <f aca="false">Invoices!E15</f>
        <v>0</v>
      </c>
      <c r="L15" s="10" t="n">
        <f aca="false">Invoices!C15</f>
        <v>0</v>
      </c>
    </row>
    <row r="16" customFormat="false" ht="15" hidden="false" customHeight="true" outlineLevel="0" collapsed="false">
      <c r="A16" s="11" t="str">
        <f aca="false">IFERROR(INDEX($J$5:$J$44,MATCH($A$12&amp;"#"&amp;4,$I$5:$I$44,0)),"")</f>
        <v/>
      </c>
      <c r="B16" s="12" t="str">
        <f aca="false">IFERROR(INDEX($K$5:$K$44,MATCH($A$12&amp;"#"&amp;4,$I$5:$I$44,0)),"")</f>
        <v/>
      </c>
      <c r="F16" s="13" t="str">
        <f aca="false">IFERROR(INDEX($L$5:$L$44,MATCH($A$12&amp;"#"&amp;4,$I$5:$I$44,0)),"")</f>
        <v/>
      </c>
      <c r="I16" s="1" t="str">
        <f aca="false">IF(Invoices!J16="","",Invoices!J16&amp;"#"&amp;COUNTIFS(Invoices!$J$5:$J16,Invoices!J16))</f>
        <v/>
      </c>
      <c r="J16" s="1" t="n">
        <f aca="false">Invoices!A16</f>
        <v>0</v>
      </c>
      <c r="K16" s="9" t="n">
        <f aca="false">Invoices!E16</f>
        <v>0</v>
      </c>
      <c r="L16" s="10" t="n">
        <f aca="false">Invoices!C16</f>
        <v>0</v>
      </c>
    </row>
    <row r="17" customFormat="false" ht="15" hidden="false" customHeight="true" outlineLevel="0" collapsed="false">
      <c r="A17" s="11" t="str">
        <f aca="false">IFERROR(INDEX($J$5:$J$44,MATCH($A$12&amp;"#"&amp;5,$I$5:$I$44,0)),"")</f>
        <v/>
      </c>
      <c r="B17" s="12" t="str">
        <f aca="false">IFERROR(INDEX($K$5:$K$44,MATCH($A$12&amp;"#"&amp;5,$I$5:$I$44,0)),"")</f>
        <v/>
      </c>
      <c r="F17" s="13" t="str">
        <f aca="false">IFERROR(INDEX($L$5:$L$44,MATCH($A$12&amp;"#"&amp;5,$I$5:$I$44,0)),"")</f>
        <v/>
      </c>
      <c r="I17" s="1" t="str">
        <f aca="false">IF(Invoices!J17="","",Invoices!J17&amp;"#"&amp;COUNTIFS(Invoices!$J$5:$J17,Invoices!J17))</f>
        <v/>
      </c>
      <c r="J17" s="1" t="n">
        <f aca="false">Invoices!A17</f>
        <v>0</v>
      </c>
      <c r="K17" s="9" t="n">
        <f aca="false">Invoices!E17</f>
        <v>0</v>
      </c>
      <c r="L17" s="10" t="n">
        <f aca="false">Invoices!C17</f>
        <v>0</v>
      </c>
    </row>
    <row r="18" customFormat="false" ht="15" hidden="false" customHeight="true" outlineLevel="0" collapsed="false">
      <c r="A18" s="11" t="str">
        <f aca="false">IFERROR(INDEX($J$5:$J$44,MATCH($A$12&amp;"#"&amp;6,$I$5:$I$44,0)),"")</f>
        <v/>
      </c>
      <c r="B18" s="12" t="str">
        <f aca="false">IFERROR(INDEX($K$5:$K$44,MATCH($A$12&amp;"#"&amp;6,$I$5:$I$44,0)),"")</f>
        <v/>
      </c>
      <c r="F18" s="13" t="str">
        <f aca="false">IFERROR(INDEX($L$5:$L$44,MATCH($A$12&amp;"#"&amp;6,$I$5:$I$44,0)),"")</f>
        <v/>
      </c>
      <c r="I18" s="1" t="str">
        <f aca="false">IF(Invoices!J18="","",Invoices!J18&amp;"#"&amp;COUNTIFS(Invoices!$J$5:$J18,Invoices!J18))</f>
        <v/>
      </c>
      <c r="J18" s="1" t="n">
        <f aca="false">Invoices!A18</f>
        <v>0</v>
      </c>
      <c r="K18" s="9" t="n">
        <f aca="false">Invoices!E18</f>
        <v>0</v>
      </c>
      <c r="L18" s="10" t="n">
        <f aca="false">Invoices!C18</f>
        <v>0</v>
      </c>
    </row>
    <row r="19" customFormat="false" ht="15" hidden="false" customHeight="true" outlineLevel="0" collapsed="false">
      <c r="A19" s="5"/>
      <c r="B19" s="6"/>
      <c r="C19" s="6"/>
      <c r="D19" s="7"/>
      <c r="E19" s="6"/>
      <c r="F19" s="8" t="str">
        <f aca="false">IF($A$19="","",SUMIF(Invoices!$J$5:$J$44,$A$19,Invoices!$C$5:$C$44))</f>
        <v/>
      </c>
      <c r="G19" s="8" t="str">
        <f aca="false">IF($A$19="","",D19-F19)</f>
        <v/>
      </c>
      <c r="I19" s="1" t="str">
        <f aca="false">IF(Invoices!J19="","",Invoices!J19&amp;"#"&amp;COUNTIFS(Invoices!$J$5:$J19,Invoices!J19))</f>
        <v/>
      </c>
      <c r="J19" s="1" t="n">
        <f aca="false">Invoices!A19</f>
        <v>0</v>
      </c>
      <c r="K19" s="9" t="n">
        <f aca="false">Invoices!E19</f>
        <v>0</v>
      </c>
      <c r="L19" s="10" t="n">
        <f aca="false">Invoices!C19</f>
        <v>0</v>
      </c>
    </row>
    <row r="20" customFormat="false" ht="15" hidden="false" customHeight="true" outlineLevel="0" collapsed="false">
      <c r="A20" s="11" t="str">
        <f aca="false">IFERROR(INDEX($J$5:$J$44,MATCH($A$19&amp;"#"&amp;1,$I$5:$I$44,0)),"")</f>
        <v/>
      </c>
      <c r="B20" s="12" t="str">
        <f aca="false">IFERROR(INDEX($K$5:$K$44,MATCH($A$19&amp;"#"&amp;1,$I$5:$I$44,0)),"")</f>
        <v/>
      </c>
      <c r="F20" s="13" t="str">
        <f aca="false">IFERROR(INDEX($L$5:$L$44,MATCH($A$19&amp;"#"&amp;1,$I$5:$I$44,0)),"")</f>
        <v/>
      </c>
      <c r="I20" s="1" t="str">
        <f aca="false">IF(Invoices!J20="","",Invoices!J20&amp;"#"&amp;COUNTIFS(Invoices!$J$5:$J20,Invoices!J20))</f>
        <v/>
      </c>
      <c r="J20" s="1" t="n">
        <f aca="false">Invoices!A20</f>
        <v>0</v>
      </c>
      <c r="K20" s="9" t="n">
        <f aca="false">Invoices!E20</f>
        <v>0</v>
      </c>
      <c r="L20" s="10" t="n">
        <f aca="false">Invoices!C20</f>
        <v>0</v>
      </c>
    </row>
    <row r="21" customFormat="false" ht="15" hidden="false" customHeight="true" outlineLevel="0" collapsed="false">
      <c r="A21" s="11" t="str">
        <f aca="false">IFERROR(INDEX($J$5:$J$44,MATCH($A$19&amp;"#"&amp;2,$I$5:$I$44,0)),"")</f>
        <v/>
      </c>
      <c r="B21" s="12" t="str">
        <f aca="false">IFERROR(INDEX($K$5:$K$44,MATCH($A$19&amp;"#"&amp;2,$I$5:$I$44,0)),"")</f>
        <v/>
      </c>
      <c r="F21" s="13" t="str">
        <f aca="false">IFERROR(INDEX($L$5:$L$44,MATCH($A$19&amp;"#"&amp;2,$I$5:$I$44,0)),"")</f>
        <v/>
      </c>
      <c r="I21" s="1" t="str">
        <f aca="false">IF(Invoices!J21="","",Invoices!J21&amp;"#"&amp;COUNTIFS(Invoices!$J$5:$J21,Invoices!J21))</f>
        <v/>
      </c>
      <c r="J21" s="1" t="n">
        <f aca="false">Invoices!A21</f>
        <v>0</v>
      </c>
      <c r="K21" s="9" t="n">
        <f aca="false">Invoices!E21</f>
        <v>0</v>
      </c>
      <c r="L21" s="10" t="n">
        <f aca="false">Invoices!C21</f>
        <v>0</v>
      </c>
    </row>
    <row r="22" customFormat="false" ht="15" hidden="false" customHeight="true" outlineLevel="0" collapsed="false">
      <c r="A22" s="11" t="str">
        <f aca="false">IFERROR(INDEX($J$5:$J$44,MATCH($A$19&amp;"#"&amp;3,$I$5:$I$44,0)),"")</f>
        <v/>
      </c>
      <c r="B22" s="12" t="str">
        <f aca="false">IFERROR(INDEX($K$5:$K$44,MATCH($A$19&amp;"#"&amp;3,$I$5:$I$44,0)),"")</f>
        <v/>
      </c>
      <c r="F22" s="13" t="str">
        <f aca="false">IFERROR(INDEX($L$5:$L$44,MATCH($A$19&amp;"#"&amp;3,$I$5:$I$44,0)),"")</f>
        <v/>
      </c>
      <c r="I22" s="1" t="str">
        <f aca="false">IF(Invoices!J22="","",Invoices!J22&amp;"#"&amp;COUNTIFS(Invoices!$J$5:$J22,Invoices!J22))</f>
        <v/>
      </c>
      <c r="J22" s="1" t="n">
        <f aca="false">Invoices!A22</f>
        <v>0</v>
      </c>
      <c r="K22" s="9" t="n">
        <f aca="false">Invoices!E22</f>
        <v>0</v>
      </c>
      <c r="L22" s="10" t="n">
        <f aca="false">Invoices!C22</f>
        <v>0</v>
      </c>
    </row>
    <row r="23" customFormat="false" ht="15" hidden="false" customHeight="true" outlineLevel="0" collapsed="false">
      <c r="A23" s="11" t="str">
        <f aca="false">IFERROR(INDEX($J$5:$J$44,MATCH($A$19&amp;"#"&amp;4,$I$5:$I$44,0)),"")</f>
        <v/>
      </c>
      <c r="B23" s="12" t="str">
        <f aca="false">IFERROR(INDEX($K$5:$K$44,MATCH($A$19&amp;"#"&amp;4,$I$5:$I$44,0)),"")</f>
        <v/>
      </c>
      <c r="F23" s="13" t="str">
        <f aca="false">IFERROR(INDEX($L$5:$L$44,MATCH($A$19&amp;"#"&amp;4,$I$5:$I$44,0)),"")</f>
        <v/>
      </c>
      <c r="I23" s="1" t="str">
        <f aca="false">IF(Invoices!J23="","",Invoices!J23&amp;"#"&amp;COUNTIFS(Invoices!$J$5:$J23,Invoices!J23))</f>
        <v/>
      </c>
      <c r="J23" s="1" t="n">
        <f aca="false">Invoices!A23</f>
        <v>0</v>
      </c>
      <c r="K23" s="9" t="n">
        <f aca="false">Invoices!E23</f>
        <v>0</v>
      </c>
      <c r="L23" s="10" t="n">
        <f aca="false">Invoices!C23</f>
        <v>0</v>
      </c>
    </row>
    <row r="24" customFormat="false" ht="15" hidden="false" customHeight="true" outlineLevel="0" collapsed="false">
      <c r="A24" s="11" t="str">
        <f aca="false">IFERROR(INDEX($J$5:$J$44,MATCH($A$19&amp;"#"&amp;5,$I$5:$I$44,0)),"")</f>
        <v/>
      </c>
      <c r="B24" s="12" t="str">
        <f aca="false">IFERROR(INDEX($K$5:$K$44,MATCH($A$19&amp;"#"&amp;5,$I$5:$I$44,0)),"")</f>
        <v/>
      </c>
      <c r="F24" s="13" t="str">
        <f aca="false">IFERROR(INDEX($L$5:$L$44,MATCH($A$19&amp;"#"&amp;5,$I$5:$I$44,0)),"")</f>
        <v/>
      </c>
      <c r="I24" s="1" t="str">
        <f aca="false">IF(Invoices!J24="","",Invoices!J24&amp;"#"&amp;COUNTIFS(Invoices!$J$5:$J24,Invoices!J24))</f>
        <v/>
      </c>
      <c r="J24" s="1" t="n">
        <f aca="false">Invoices!A24</f>
        <v>0</v>
      </c>
      <c r="K24" s="9" t="n">
        <f aca="false">Invoices!E24</f>
        <v>0</v>
      </c>
      <c r="L24" s="10" t="n">
        <f aca="false">Invoices!C24</f>
        <v>0</v>
      </c>
    </row>
    <row r="25" customFormat="false" ht="15" hidden="false" customHeight="true" outlineLevel="0" collapsed="false">
      <c r="A25" s="11" t="str">
        <f aca="false">IFERROR(INDEX($J$5:$J$44,MATCH($A$19&amp;"#"&amp;6,$I$5:$I$44,0)),"")</f>
        <v/>
      </c>
      <c r="B25" s="12" t="str">
        <f aca="false">IFERROR(INDEX($K$5:$K$44,MATCH($A$19&amp;"#"&amp;6,$I$5:$I$44,0)),"")</f>
        <v/>
      </c>
      <c r="F25" s="13" t="str">
        <f aca="false">IFERROR(INDEX($L$5:$L$44,MATCH($A$19&amp;"#"&amp;6,$I$5:$I$44,0)),"")</f>
        <v/>
      </c>
      <c r="I25" s="1" t="str">
        <f aca="false">IF(Invoices!J25="","",Invoices!J25&amp;"#"&amp;COUNTIFS(Invoices!$J$5:$J25,Invoices!J25))</f>
        <v/>
      </c>
      <c r="J25" s="1" t="n">
        <f aca="false">Invoices!A25</f>
        <v>0</v>
      </c>
      <c r="K25" s="9" t="n">
        <f aca="false">Invoices!E25</f>
        <v>0</v>
      </c>
      <c r="L25" s="10" t="n">
        <f aca="false">Invoices!C25</f>
        <v>0</v>
      </c>
    </row>
    <row r="26" customFormat="false" ht="15" hidden="false" customHeight="true" outlineLevel="0" collapsed="false">
      <c r="A26" s="5"/>
      <c r="B26" s="6"/>
      <c r="C26" s="6"/>
      <c r="D26" s="7"/>
      <c r="E26" s="6"/>
      <c r="F26" s="8" t="str">
        <f aca="false">IF($A$26="","",SUMIF(Invoices!$J$5:$J$44,$A$26,Invoices!$C$5:$C$44))</f>
        <v/>
      </c>
      <c r="G26" s="8" t="str">
        <f aca="false">IF($A$26="","",D26-F26)</f>
        <v/>
      </c>
      <c r="I26" s="1" t="str">
        <f aca="false">IF(Invoices!J26="","",Invoices!J26&amp;"#"&amp;COUNTIFS(Invoices!$J$5:$J26,Invoices!J26))</f>
        <v/>
      </c>
      <c r="J26" s="1" t="n">
        <f aca="false">Invoices!A26</f>
        <v>0</v>
      </c>
      <c r="K26" s="9" t="n">
        <f aca="false">Invoices!E26</f>
        <v>0</v>
      </c>
      <c r="L26" s="10" t="n">
        <f aca="false">Invoices!C26</f>
        <v>0</v>
      </c>
    </row>
    <row r="27" customFormat="false" ht="15" hidden="false" customHeight="true" outlineLevel="0" collapsed="false">
      <c r="A27" s="11" t="str">
        <f aca="false">IFERROR(INDEX($J$5:$J$44,MATCH($A$26&amp;"#"&amp;1,$I$5:$I$44,0)),"")</f>
        <v/>
      </c>
      <c r="B27" s="12" t="str">
        <f aca="false">IFERROR(INDEX($K$5:$K$44,MATCH($A$26&amp;"#"&amp;1,$I$5:$I$44,0)),"")</f>
        <v/>
      </c>
      <c r="F27" s="13" t="str">
        <f aca="false">IFERROR(INDEX($L$5:$L$44,MATCH($A$26&amp;"#"&amp;1,$I$5:$I$44,0)),"")</f>
        <v/>
      </c>
      <c r="I27" s="1" t="str">
        <f aca="false">IF(Invoices!J27="","",Invoices!J27&amp;"#"&amp;COUNTIFS(Invoices!$J$5:$J27,Invoices!J27))</f>
        <v/>
      </c>
      <c r="J27" s="1" t="n">
        <f aca="false">Invoices!A27</f>
        <v>0</v>
      </c>
      <c r="K27" s="9" t="n">
        <f aca="false">Invoices!E27</f>
        <v>0</v>
      </c>
      <c r="L27" s="10" t="n">
        <f aca="false">Invoices!C27</f>
        <v>0</v>
      </c>
    </row>
    <row r="28" customFormat="false" ht="15" hidden="false" customHeight="true" outlineLevel="0" collapsed="false">
      <c r="A28" s="11" t="str">
        <f aca="false">IFERROR(INDEX($J$5:$J$44,MATCH($A$26&amp;"#"&amp;2,$I$5:$I$44,0)),"")</f>
        <v/>
      </c>
      <c r="B28" s="12" t="str">
        <f aca="false">IFERROR(INDEX($K$5:$K$44,MATCH($A$26&amp;"#"&amp;2,$I$5:$I$44,0)),"")</f>
        <v/>
      </c>
      <c r="F28" s="13" t="str">
        <f aca="false">IFERROR(INDEX($L$5:$L$44,MATCH($A$26&amp;"#"&amp;2,$I$5:$I$44,0)),"")</f>
        <v/>
      </c>
      <c r="I28" s="1" t="str">
        <f aca="false">IF(Invoices!J28="","",Invoices!J28&amp;"#"&amp;COUNTIFS(Invoices!$J$5:$J28,Invoices!J28))</f>
        <v/>
      </c>
      <c r="J28" s="1" t="n">
        <f aca="false">Invoices!A28</f>
        <v>0</v>
      </c>
      <c r="K28" s="9" t="n">
        <f aca="false">Invoices!E28</f>
        <v>0</v>
      </c>
      <c r="L28" s="10" t="n">
        <f aca="false">Invoices!C28</f>
        <v>0</v>
      </c>
    </row>
    <row r="29" customFormat="false" ht="15" hidden="false" customHeight="true" outlineLevel="0" collapsed="false">
      <c r="A29" s="11" t="str">
        <f aca="false">IFERROR(INDEX($J$5:$J$44,MATCH($A$26&amp;"#"&amp;3,$I$5:$I$44,0)),"")</f>
        <v/>
      </c>
      <c r="B29" s="12" t="str">
        <f aca="false">IFERROR(INDEX($K$5:$K$44,MATCH($A$26&amp;"#"&amp;3,$I$5:$I$44,0)),"")</f>
        <v/>
      </c>
      <c r="F29" s="13" t="str">
        <f aca="false">IFERROR(INDEX($L$5:$L$44,MATCH($A$26&amp;"#"&amp;3,$I$5:$I$44,0)),"")</f>
        <v/>
      </c>
      <c r="I29" s="1" t="str">
        <f aca="false">IF(Invoices!J29="","",Invoices!J29&amp;"#"&amp;COUNTIFS(Invoices!$J$5:$J29,Invoices!J29))</f>
        <v/>
      </c>
      <c r="J29" s="1" t="n">
        <f aca="false">Invoices!A29</f>
        <v>0</v>
      </c>
      <c r="K29" s="9" t="n">
        <f aca="false">Invoices!E29</f>
        <v>0</v>
      </c>
      <c r="L29" s="10" t="n">
        <f aca="false">Invoices!C29</f>
        <v>0</v>
      </c>
    </row>
    <row r="30" customFormat="false" ht="15" hidden="false" customHeight="true" outlineLevel="0" collapsed="false">
      <c r="A30" s="11" t="str">
        <f aca="false">IFERROR(INDEX($J$5:$J$44,MATCH($A$26&amp;"#"&amp;4,$I$5:$I$44,0)),"")</f>
        <v/>
      </c>
      <c r="B30" s="12" t="str">
        <f aca="false">IFERROR(INDEX($K$5:$K$44,MATCH($A$26&amp;"#"&amp;4,$I$5:$I$44,0)),"")</f>
        <v/>
      </c>
      <c r="F30" s="13" t="str">
        <f aca="false">IFERROR(INDEX($L$5:$L$44,MATCH($A$26&amp;"#"&amp;4,$I$5:$I$44,0)),"")</f>
        <v/>
      </c>
      <c r="I30" s="1" t="str">
        <f aca="false">IF(Invoices!J30="","",Invoices!J30&amp;"#"&amp;COUNTIFS(Invoices!$J$5:$J30,Invoices!J30))</f>
        <v/>
      </c>
      <c r="J30" s="1" t="n">
        <f aca="false">Invoices!A30</f>
        <v>0</v>
      </c>
      <c r="K30" s="9" t="n">
        <f aca="false">Invoices!E30</f>
        <v>0</v>
      </c>
      <c r="L30" s="10" t="n">
        <f aca="false">Invoices!C30</f>
        <v>0</v>
      </c>
    </row>
    <row r="31" customFormat="false" ht="15" hidden="false" customHeight="true" outlineLevel="0" collapsed="false">
      <c r="A31" s="11" t="str">
        <f aca="false">IFERROR(INDEX($J$5:$J$44,MATCH($A$26&amp;"#"&amp;5,$I$5:$I$44,0)),"")</f>
        <v/>
      </c>
      <c r="B31" s="12" t="str">
        <f aca="false">IFERROR(INDEX($K$5:$K$44,MATCH($A$26&amp;"#"&amp;5,$I$5:$I$44,0)),"")</f>
        <v/>
      </c>
      <c r="F31" s="13" t="str">
        <f aca="false">IFERROR(INDEX($L$5:$L$44,MATCH($A$26&amp;"#"&amp;5,$I$5:$I$44,0)),"")</f>
        <v/>
      </c>
      <c r="I31" s="1" t="str">
        <f aca="false">IF(Invoices!J31="","",Invoices!J31&amp;"#"&amp;COUNTIFS(Invoices!$J$5:$J31,Invoices!J31))</f>
        <v/>
      </c>
      <c r="J31" s="1" t="n">
        <f aca="false">Invoices!A31</f>
        <v>0</v>
      </c>
      <c r="K31" s="9" t="n">
        <f aca="false">Invoices!E31</f>
        <v>0</v>
      </c>
      <c r="L31" s="10" t="n">
        <f aca="false">Invoices!C31</f>
        <v>0</v>
      </c>
    </row>
    <row r="32" customFormat="false" ht="15" hidden="false" customHeight="true" outlineLevel="0" collapsed="false">
      <c r="A32" s="11" t="str">
        <f aca="false">IFERROR(INDEX($J$5:$J$44,MATCH($A$26&amp;"#"&amp;6,$I$5:$I$44,0)),"")</f>
        <v/>
      </c>
      <c r="B32" s="12" t="str">
        <f aca="false">IFERROR(INDEX($K$5:$K$44,MATCH($A$26&amp;"#"&amp;6,$I$5:$I$44,0)),"")</f>
        <v/>
      </c>
      <c r="F32" s="13" t="str">
        <f aca="false">IFERROR(INDEX($L$5:$L$44,MATCH($A$26&amp;"#"&amp;6,$I$5:$I$44,0)),"")</f>
        <v/>
      </c>
      <c r="I32" s="1" t="str">
        <f aca="false">IF(Invoices!J32="","",Invoices!J32&amp;"#"&amp;COUNTIFS(Invoices!$J$5:$J32,Invoices!J32))</f>
        <v/>
      </c>
      <c r="J32" s="1" t="n">
        <f aca="false">Invoices!A32</f>
        <v>0</v>
      </c>
      <c r="K32" s="9" t="n">
        <f aca="false">Invoices!E32</f>
        <v>0</v>
      </c>
      <c r="L32" s="10" t="n">
        <f aca="false">Invoices!C32</f>
        <v>0</v>
      </c>
    </row>
    <row r="33" customFormat="false" ht="15" hidden="false" customHeight="true" outlineLevel="0" collapsed="false">
      <c r="A33" s="5"/>
      <c r="B33" s="6"/>
      <c r="C33" s="6"/>
      <c r="D33" s="7"/>
      <c r="E33" s="6"/>
      <c r="F33" s="8" t="str">
        <f aca="false">IF($A$33="","",SUMIF(Invoices!$J$5:$J$44,$A$33,Invoices!$C$5:$C$44))</f>
        <v/>
      </c>
      <c r="G33" s="8" t="str">
        <f aca="false">IF($A$33="","",D33-F33)</f>
        <v/>
      </c>
      <c r="I33" s="1" t="str">
        <f aca="false">IF(Invoices!J33="","",Invoices!J33&amp;"#"&amp;COUNTIFS(Invoices!$J$5:$J33,Invoices!J33))</f>
        <v/>
      </c>
      <c r="J33" s="1" t="n">
        <f aca="false">Invoices!A33</f>
        <v>0</v>
      </c>
      <c r="K33" s="9" t="n">
        <f aca="false">Invoices!E33</f>
        <v>0</v>
      </c>
      <c r="L33" s="10" t="n">
        <f aca="false">Invoices!C33</f>
        <v>0</v>
      </c>
    </row>
    <row r="34" customFormat="false" ht="15" hidden="false" customHeight="true" outlineLevel="0" collapsed="false">
      <c r="A34" s="11" t="str">
        <f aca="false">IFERROR(INDEX($J$5:$J$44,MATCH($A$33&amp;"#"&amp;1,$I$5:$I$44,0)),"")</f>
        <v/>
      </c>
      <c r="B34" s="12" t="str">
        <f aca="false">IFERROR(INDEX($K$5:$K$44,MATCH($A$33&amp;"#"&amp;1,$I$5:$I$44,0)),"")</f>
        <v/>
      </c>
      <c r="F34" s="13" t="str">
        <f aca="false">IFERROR(INDEX($L$5:$L$44,MATCH($A$33&amp;"#"&amp;1,$I$5:$I$44,0)),"")</f>
        <v/>
      </c>
      <c r="I34" s="1" t="str">
        <f aca="false">IF(Invoices!J34="","",Invoices!J34&amp;"#"&amp;COUNTIFS(Invoices!$J$5:$J34,Invoices!J34))</f>
        <v/>
      </c>
      <c r="J34" s="1" t="n">
        <f aca="false">Invoices!A34</f>
        <v>0</v>
      </c>
      <c r="K34" s="9" t="n">
        <f aca="false">Invoices!E34</f>
        <v>0</v>
      </c>
      <c r="L34" s="10" t="n">
        <f aca="false">Invoices!C34</f>
        <v>0</v>
      </c>
    </row>
    <row r="35" customFormat="false" ht="15" hidden="false" customHeight="true" outlineLevel="0" collapsed="false">
      <c r="A35" s="11" t="str">
        <f aca="false">IFERROR(INDEX($J$5:$J$44,MATCH($A$33&amp;"#"&amp;2,$I$5:$I$44,0)),"")</f>
        <v/>
      </c>
      <c r="B35" s="12" t="str">
        <f aca="false">IFERROR(INDEX($K$5:$K$44,MATCH($A$33&amp;"#"&amp;2,$I$5:$I$44,0)),"")</f>
        <v/>
      </c>
      <c r="F35" s="13" t="str">
        <f aca="false">IFERROR(INDEX($L$5:$L$44,MATCH($A$33&amp;"#"&amp;2,$I$5:$I$44,0)),"")</f>
        <v/>
      </c>
      <c r="I35" s="1" t="str">
        <f aca="false">IF(Invoices!J35="","",Invoices!J35&amp;"#"&amp;COUNTIFS(Invoices!$J$5:$J35,Invoices!J35))</f>
        <v/>
      </c>
      <c r="J35" s="1" t="n">
        <f aca="false">Invoices!A35</f>
        <v>0</v>
      </c>
      <c r="K35" s="9" t="n">
        <f aca="false">Invoices!E35</f>
        <v>0</v>
      </c>
      <c r="L35" s="10" t="n">
        <f aca="false">Invoices!C35</f>
        <v>0</v>
      </c>
    </row>
    <row r="36" customFormat="false" ht="15" hidden="false" customHeight="true" outlineLevel="0" collapsed="false">
      <c r="A36" s="11" t="str">
        <f aca="false">IFERROR(INDEX($J$5:$J$44,MATCH($A$33&amp;"#"&amp;3,$I$5:$I$44,0)),"")</f>
        <v/>
      </c>
      <c r="B36" s="12" t="str">
        <f aca="false">IFERROR(INDEX($K$5:$K$44,MATCH($A$33&amp;"#"&amp;3,$I$5:$I$44,0)),"")</f>
        <v/>
      </c>
      <c r="F36" s="13" t="str">
        <f aca="false">IFERROR(INDEX($L$5:$L$44,MATCH($A$33&amp;"#"&amp;3,$I$5:$I$44,0)),"")</f>
        <v/>
      </c>
      <c r="I36" s="1" t="str">
        <f aca="false">IF(Invoices!J36="","",Invoices!J36&amp;"#"&amp;COUNTIFS(Invoices!$J$5:$J36,Invoices!J36))</f>
        <v/>
      </c>
      <c r="J36" s="1" t="n">
        <f aca="false">Invoices!A36</f>
        <v>0</v>
      </c>
      <c r="K36" s="9" t="n">
        <f aca="false">Invoices!E36</f>
        <v>0</v>
      </c>
      <c r="L36" s="10" t="n">
        <f aca="false">Invoices!C36</f>
        <v>0</v>
      </c>
    </row>
    <row r="37" customFormat="false" ht="15" hidden="false" customHeight="true" outlineLevel="0" collapsed="false">
      <c r="A37" s="11" t="str">
        <f aca="false">IFERROR(INDEX($J$5:$J$44,MATCH($A$33&amp;"#"&amp;4,$I$5:$I$44,0)),"")</f>
        <v/>
      </c>
      <c r="B37" s="12" t="str">
        <f aca="false">IFERROR(INDEX($K$5:$K$44,MATCH($A$33&amp;"#"&amp;4,$I$5:$I$44,0)),"")</f>
        <v/>
      </c>
      <c r="F37" s="13" t="str">
        <f aca="false">IFERROR(INDEX($L$5:$L$44,MATCH($A$33&amp;"#"&amp;4,$I$5:$I$44,0)),"")</f>
        <v/>
      </c>
      <c r="I37" s="1" t="str">
        <f aca="false">IF(Invoices!J37="","",Invoices!J37&amp;"#"&amp;COUNTIFS(Invoices!$J$5:$J37,Invoices!J37))</f>
        <v/>
      </c>
      <c r="J37" s="1" t="n">
        <f aca="false">Invoices!A37</f>
        <v>0</v>
      </c>
      <c r="K37" s="9" t="n">
        <f aca="false">Invoices!E37</f>
        <v>0</v>
      </c>
      <c r="L37" s="10" t="n">
        <f aca="false">Invoices!C37</f>
        <v>0</v>
      </c>
    </row>
    <row r="38" customFormat="false" ht="15" hidden="false" customHeight="true" outlineLevel="0" collapsed="false">
      <c r="A38" s="11" t="str">
        <f aca="false">IFERROR(INDEX($J$5:$J$44,MATCH($A$33&amp;"#"&amp;5,$I$5:$I$44,0)),"")</f>
        <v/>
      </c>
      <c r="B38" s="12" t="str">
        <f aca="false">IFERROR(INDEX($K$5:$K$44,MATCH($A$33&amp;"#"&amp;5,$I$5:$I$44,0)),"")</f>
        <v/>
      </c>
      <c r="F38" s="13" t="str">
        <f aca="false">IFERROR(INDEX($L$5:$L$44,MATCH($A$33&amp;"#"&amp;5,$I$5:$I$44,0)),"")</f>
        <v/>
      </c>
      <c r="I38" s="1" t="str">
        <f aca="false">IF(Invoices!J38="","",Invoices!J38&amp;"#"&amp;COUNTIFS(Invoices!$J$5:$J38,Invoices!J38))</f>
        <v/>
      </c>
      <c r="J38" s="1" t="n">
        <f aca="false">Invoices!A38</f>
        <v>0</v>
      </c>
      <c r="K38" s="9" t="n">
        <f aca="false">Invoices!E38</f>
        <v>0</v>
      </c>
      <c r="L38" s="10" t="n">
        <f aca="false">Invoices!C38</f>
        <v>0</v>
      </c>
    </row>
    <row r="39" customFormat="false" ht="15" hidden="false" customHeight="true" outlineLevel="0" collapsed="false">
      <c r="A39" s="11" t="str">
        <f aca="false">IFERROR(INDEX($J$5:$J$44,MATCH($A$33&amp;"#"&amp;6,$I$5:$I$44,0)),"")</f>
        <v/>
      </c>
      <c r="B39" s="12" t="str">
        <f aca="false">IFERROR(INDEX($K$5:$K$44,MATCH($A$33&amp;"#"&amp;6,$I$5:$I$44,0)),"")</f>
        <v/>
      </c>
      <c r="F39" s="13" t="str">
        <f aca="false">IFERROR(INDEX($L$5:$L$44,MATCH($A$33&amp;"#"&amp;6,$I$5:$I$44,0)),"")</f>
        <v/>
      </c>
      <c r="I39" s="1" t="str">
        <f aca="false">IF(Invoices!J39="","",Invoices!J39&amp;"#"&amp;COUNTIFS(Invoices!$J$5:$J39,Invoices!J39))</f>
        <v/>
      </c>
      <c r="J39" s="1" t="n">
        <f aca="false">Invoices!A39</f>
        <v>0</v>
      </c>
      <c r="K39" s="9" t="n">
        <f aca="false">Invoices!E39</f>
        <v>0</v>
      </c>
      <c r="L39" s="10" t="n">
        <f aca="false">Invoices!C39</f>
        <v>0</v>
      </c>
    </row>
    <row r="40" customFormat="false" ht="15" hidden="false" customHeight="true" outlineLevel="0" collapsed="false">
      <c r="A40" s="5"/>
      <c r="B40" s="6"/>
      <c r="C40" s="6"/>
      <c r="D40" s="7"/>
      <c r="E40" s="6"/>
      <c r="F40" s="8" t="str">
        <f aca="false">IF($A$40="","",SUMIF(Invoices!$J$5:$J$44,$A$40,Invoices!$C$5:$C$44))</f>
        <v/>
      </c>
      <c r="G40" s="8" t="str">
        <f aca="false">IF($A$40="","",D40-F40)</f>
        <v/>
      </c>
      <c r="I40" s="1" t="str">
        <f aca="false">IF(Invoices!J40="","",Invoices!J40&amp;"#"&amp;COUNTIFS(Invoices!$J$5:$J40,Invoices!J40))</f>
        <v/>
      </c>
      <c r="J40" s="1" t="n">
        <f aca="false">Invoices!A40</f>
        <v>0</v>
      </c>
      <c r="K40" s="9" t="n">
        <f aca="false">Invoices!E40</f>
        <v>0</v>
      </c>
      <c r="L40" s="10" t="n">
        <f aca="false">Invoices!C40</f>
        <v>0</v>
      </c>
    </row>
    <row r="41" customFormat="false" ht="15" hidden="false" customHeight="true" outlineLevel="0" collapsed="false">
      <c r="A41" s="11" t="str">
        <f aca="false">IFERROR(INDEX($J$5:$J$44,MATCH($A$40&amp;"#"&amp;1,$I$5:$I$44,0)),"")</f>
        <v/>
      </c>
      <c r="B41" s="12" t="str">
        <f aca="false">IFERROR(INDEX($K$5:$K$44,MATCH($A$40&amp;"#"&amp;1,$I$5:$I$44,0)),"")</f>
        <v/>
      </c>
      <c r="F41" s="13" t="str">
        <f aca="false">IFERROR(INDEX($L$5:$L$44,MATCH($A$40&amp;"#"&amp;1,$I$5:$I$44,0)),"")</f>
        <v/>
      </c>
      <c r="I41" s="1" t="str">
        <f aca="false">IF(Invoices!J41="","",Invoices!J41&amp;"#"&amp;COUNTIFS(Invoices!$J$5:$J41,Invoices!J41))</f>
        <v/>
      </c>
      <c r="J41" s="1" t="n">
        <f aca="false">Invoices!A41</f>
        <v>0</v>
      </c>
      <c r="K41" s="9" t="n">
        <f aca="false">Invoices!E41</f>
        <v>0</v>
      </c>
      <c r="L41" s="10" t="n">
        <f aca="false">Invoices!C41</f>
        <v>0</v>
      </c>
    </row>
    <row r="42" customFormat="false" ht="15" hidden="false" customHeight="true" outlineLevel="0" collapsed="false">
      <c r="A42" s="11" t="str">
        <f aca="false">IFERROR(INDEX($J$5:$J$44,MATCH($A$40&amp;"#"&amp;2,$I$5:$I$44,0)),"")</f>
        <v/>
      </c>
      <c r="B42" s="12" t="str">
        <f aca="false">IFERROR(INDEX($K$5:$K$44,MATCH($A$40&amp;"#"&amp;2,$I$5:$I$44,0)),"")</f>
        <v/>
      </c>
      <c r="F42" s="13" t="str">
        <f aca="false">IFERROR(INDEX($L$5:$L$44,MATCH($A$40&amp;"#"&amp;2,$I$5:$I$44,0)),"")</f>
        <v/>
      </c>
      <c r="I42" s="1" t="str">
        <f aca="false">IF(Invoices!J42="","",Invoices!J42&amp;"#"&amp;COUNTIFS(Invoices!$J$5:$J42,Invoices!J42))</f>
        <v/>
      </c>
      <c r="J42" s="1" t="n">
        <f aca="false">Invoices!A42</f>
        <v>0</v>
      </c>
      <c r="K42" s="9" t="n">
        <f aca="false">Invoices!E42</f>
        <v>0</v>
      </c>
      <c r="L42" s="10" t="n">
        <f aca="false">Invoices!C42</f>
        <v>0</v>
      </c>
    </row>
    <row r="43" customFormat="false" ht="15" hidden="false" customHeight="true" outlineLevel="0" collapsed="false">
      <c r="A43" s="11" t="str">
        <f aca="false">IFERROR(INDEX($J$5:$J$44,MATCH($A$40&amp;"#"&amp;3,$I$5:$I$44,0)),"")</f>
        <v/>
      </c>
      <c r="B43" s="12" t="str">
        <f aca="false">IFERROR(INDEX($K$5:$K$44,MATCH($A$40&amp;"#"&amp;3,$I$5:$I$44,0)),"")</f>
        <v/>
      </c>
      <c r="F43" s="13" t="str">
        <f aca="false">IFERROR(INDEX($L$5:$L$44,MATCH($A$40&amp;"#"&amp;3,$I$5:$I$44,0)),"")</f>
        <v/>
      </c>
      <c r="I43" s="1" t="str">
        <f aca="false">IF(Invoices!J43="","",Invoices!J43&amp;"#"&amp;COUNTIFS(Invoices!$J$5:$J43,Invoices!J43))</f>
        <v/>
      </c>
      <c r="J43" s="1" t="n">
        <f aca="false">Invoices!A43</f>
        <v>0</v>
      </c>
      <c r="K43" s="9" t="n">
        <f aca="false">Invoices!E43</f>
        <v>0</v>
      </c>
      <c r="L43" s="10" t="n">
        <f aca="false">Invoices!C43</f>
        <v>0</v>
      </c>
    </row>
    <row r="44" customFormat="false" ht="15" hidden="false" customHeight="true" outlineLevel="0" collapsed="false">
      <c r="A44" s="11" t="str">
        <f aca="false">IFERROR(INDEX($J$5:$J$44,MATCH($A$40&amp;"#"&amp;4,$I$5:$I$44,0)),"")</f>
        <v/>
      </c>
      <c r="B44" s="12" t="str">
        <f aca="false">IFERROR(INDEX($K$5:$K$44,MATCH($A$40&amp;"#"&amp;4,$I$5:$I$44,0)),"")</f>
        <v/>
      </c>
      <c r="F44" s="13" t="str">
        <f aca="false">IFERROR(INDEX($L$5:$L$44,MATCH($A$40&amp;"#"&amp;4,$I$5:$I$44,0)),"")</f>
        <v/>
      </c>
      <c r="I44" s="1" t="str">
        <f aca="false">IF(Invoices!J44="","",Invoices!J44&amp;"#"&amp;COUNTIFS(Invoices!$J$5:$J44,Invoices!J44))</f>
        <v/>
      </c>
      <c r="J44" s="1" t="n">
        <f aca="false">Invoices!A44</f>
        <v>0</v>
      </c>
      <c r="K44" s="9" t="n">
        <f aca="false">Invoices!E44</f>
        <v>0</v>
      </c>
      <c r="L44" s="10" t="n">
        <f aca="false">Invoices!C44</f>
        <v>0</v>
      </c>
    </row>
    <row r="45" customFormat="false" ht="15" hidden="false" customHeight="true" outlineLevel="0" collapsed="false">
      <c r="A45" s="11" t="str">
        <f aca="false">IFERROR(INDEX($J$5:$J$44,MATCH($A$40&amp;"#"&amp;5,$I$5:$I$44,0)),"")</f>
        <v/>
      </c>
      <c r="B45" s="12" t="str">
        <f aca="false">IFERROR(INDEX($K$5:$K$44,MATCH($A$40&amp;"#"&amp;5,$I$5:$I$44,0)),"")</f>
        <v/>
      </c>
      <c r="F45" s="13" t="str">
        <f aca="false">IFERROR(INDEX($L$5:$L$44,MATCH($A$40&amp;"#"&amp;5,$I$5:$I$44,0)),"")</f>
        <v/>
      </c>
    </row>
    <row r="46" customFormat="false" ht="15" hidden="false" customHeight="true" outlineLevel="0" collapsed="false">
      <c r="A46" s="11" t="str">
        <f aca="false">IFERROR(INDEX($J$5:$J$44,MATCH($A$40&amp;"#"&amp;6,$I$5:$I$44,0)),"")</f>
        <v/>
      </c>
      <c r="B46" s="12" t="str">
        <f aca="false">IFERROR(INDEX($K$5:$K$44,MATCH($A$40&amp;"#"&amp;6,$I$5:$I$44,0)),"")</f>
        <v/>
      </c>
      <c r="F46" s="13" t="str">
        <f aca="false">IFERROR(INDEX($L$5:$L$44,MATCH($A$40&amp;"#"&amp;6,$I$5:$I$44,0)),"")</f>
        <v/>
      </c>
    </row>
    <row r="47" customFormat="false" ht="15" hidden="false" customHeight="true" outlineLevel="0" collapsed="false">
      <c r="A47" s="5"/>
      <c r="B47" s="6"/>
      <c r="C47" s="6"/>
      <c r="D47" s="7"/>
      <c r="E47" s="6"/>
      <c r="F47" s="8" t="str">
        <f aca="false">IF($A$47="","",SUMIF(Invoices!$J$5:$J$44,$A$47,Invoices!$C$5:$C$44))</f>
        <v/>
      </c>
      <c r="G47" s="8" t="str">
        <f aca="false">IF($A$47="","",D47-F47)</f>
        <v/>
      </c>
    </row>
    <row r="48" customFormat="false" ht="15" hidden="false" customHeight="true" outlineLevel="0" collapsed="false">
      <c r="A48" s="11" t="str">
        <f aca="false">IFERROR(INDEX($J$5:$J$44,MATCH($A$47&amp;"#"&amp;1,$I$5:$I$44,0)),"")</f>
        <v/>
      </c>
      <c r="B48" s="12" t="str">
        <f aca="false">IFERROR(INDEX($K$5:$K$44,MATCH($A$47&amp;"#"&amp;1,$I$5:$I$44,0)),"")</f>
        <v/>
      </c>
      <c r="F48" s="13" t="str">
        <f aca="false">IFERROR(INDEX($L$5:$L$44,MATCH($A$47&amp;"#"&amp;1,$I$5:$I$44,0)),"")</f>
        <v/>
      </c>
    </row>
    <row r="49" customFormat="false" ht="15" hidden="false" customHeight="true" outlineLevel="0" collapsed="false">
      <c r="A49" s="11" t="str">
        <f aca="false">IFERROR(INDEX($J$5:$J$44,MATCH($A$47&amp;"#"&amp;2,$I$5:$I$44,0)),"")</f>
        <v/>
      </c>
      <c r="B49" s="12" t="str">
        <f aca="false">IFERROR(INDEX($K$5:$K$44,MATCH($A$47&amp;"#"&amp;2,$I$5:$I$44,0)),"")</f>
        <v/>
      </c>
      <c r="F49" s="13" t="str">
        <f aca="false">IFERROR(INDEX($L$5:$L$44,MATCH($A$47&amp;"#"&amp;2,$I$5:$I$44,0)),"")</f>
        <v/>
      </c>
    </row>
    <row r="50" customFormat="false" ht="15" hidden="false" customHeight="true" outlineLevel="0" collapsed="false">
      <c r="A50" s="11" t="str">
        <f aca="false">IFERROR(INDEX($J$5:$J$44,MATCH($A$47&amp;"#"&amp;3,$I$5:$I$44,0)),"")</f>
        <v/>
      </c>
      <c r="B50" s="12" t="str">
        <f aca="false">IFERROR(INDEX($K$5:$K$44,MATCH($A$47&amp;"#"&amp;3,$I$5:$I$44,0)),"")</f>
        <v/>
      </c>
      <c r="F50" s="13" t="str">
        <f aca="false">IFERROR(INDEX($L$5:$L$44,MATCH($A$47&amp;"#"&amp;3,$I$5:$I$44,0)),"")</f>
        <v/>
      </c>
    </row>
    <row r="51" customFormat="false" ht="15" hidden="false" customHeight="true" outlineLevel="0" collapsed="false">
      <c r="A51" s="11" t="str">
        <f aca="false">IFERROR(INDEX($J$5:$J$44,MATCH($A$47&amp;"#"&amp;4,$I$5:$I$44,0)),"")</f>
        <v/>
      </c>
      <c r="B51" s="12" t="str">
        <f aca="false">IFERROR(INDEX($K$5:$K$44,MATCH($A$47&amp;"#"&amp;4,$I$5:$I$44,0)),"")</f>
        <v/>
      </c>
      <c r="F51" s="13" t="str">
        <f aca="false">IFERROR(INDEX($L$5:$L$44,MATCH($A$47&amp;"#"&amp;4,$I$5:$I$44,0)),"")</f>
        <v/>
      </c>
    </row>
    <row r="52" customFormat="false" ht="15" hidden="false" customHeight="true" outlineLevel="0" collapsed="false">
      <c r="A52" s="11" t="str">
        <f aca="false">IFERROR(INDEX($J$5:$J$44,MATCH($A$47&amp;"#"&amp;5,$I$5:$I$44,0)),"")</f>
        <v/>
      </c>
      <c r="B52" s="12" t="str">
        <f aca="false">IFERROR(INDEX($K$5:$K$44,MATCH($A$47&amp;"#"&amp;5,$I$5:$I$44,0)),"")</f>
        <v/>
      </c>
      <c r="F52" s="13" t="str">
        <f aca="false">IFERROR(INDEX($L$5:$L$44,MATCH($A$47&amp;"#"&amp;5,$I$5:$I$44,0)),"")</f>
        <v/>
      </c>
    </row>
    <row r="53" customFormat="false" ht="15" hidden="false" customHeight="true" outlineLevel="0" collapsed="false">
      <c r="A53" s="11" t="str">
        <f aca="false">IFERROR(INDEX($J$5:$J$44,MATCH($A$47&amp;"#"&amp;6,$I$5:$I$44,0)),"")</f>
        <v/>
      </c>
      <c r="B53" s="12" t="str">
        <f aca="false">IFERROR(INDEX($K$5:$K$44,MATCH($A$47&amp;"#"&amp;6,$I$5:$I$44,0)),"")</f>
        <v/>
      </c>
      <c r="F53" s="13" t="str">
        <f aca="false">IFERROR(INDEX($L$5:$L$44,MATCH($A$47&amp;"#"&amp;6,$I$5:$I$44,0)),"")</f>
        <v/>
      </c>
    </row>
    <row r="54" customFormat="false" ht="15" hidden="false" customHeight="true" outlineLevel="0" collapsed="false">
      <c r="A54" s="5"/>
      <c r="B54" s="6"/>
      <c r="C54" s="6"/>
      <c r="D54" s="7"/>
      <c r="E54" s="6"/>
      <c r="F54" s="8" t="str">
        <f aca="false">IF($A$54="","",SUMIF(Invoices!$J$5:$J$44,$A$54,Invoices!$C$5:$C$44))</f>
        <v/>
      </c>
      <c r="G54" s="8" t="str">
        <f aca="false">IF($A$54="","",D54-F54)</f>
        <v/>
      </c>
    </row>
    <row r="55" customFormat="false" ht="15" hidden="false" customHeight="true" outlineLevel="0" collapsed="false">
      <c r="A55" s="11" t="str">
        <f aca="false">IFERROR(INDEX($J$5:$J$44,MATCH($A$54&amp;"#"&amp;1,$I$5:$I$44,0)),"")</f>
        <v/>
      </c>
      <c r="B55" s="12" t="str">
        <f aca="false">IFERROR(INDEX($K$5:$K$44,MATCH($A$54&amp;"#"&amp;1,$I$5:$I$44,0)),"")</f>
        <v/>
      </c>
      <c r="F55" s="13" t="str">
        <f aca="false">IFERROR(INDEX($L$5:$L$44,MATCH($A$54&amp;"#"&amp;1,$I$5:$I$44,0)),"")</f>
        <v/>
      </c>
    </row>
    <row r="56" customFormat="false" ht="15" hidden="false" customHeight="true" outlineLevel="0" collapsed="false">
      <c r="A56" s="11" t="str">
        <f aca="false">IFERROR(INDEX($J$5:$J$44,MATCH($A$54&amp;"#"&amp;2,$I$5:$I$44,0)),"")</f>
        <v/>
      </c>
      <c r="B56" s="12" t="str">
        <f aca="false">IFERROR(INDEX($K$5:$K$44,MATCH($A$54&amp;"#"&amp;2,$I$5:$I$44,0)),"")</f>
        <v/>
      </c>
      <c r="F56" s="13" t="str">
        <f aca="false">IFERROR(INDEX($L$5:$L$44,MATCH($A$54&amp;"#"&amp;2,$I$5:$I$44,0)),"")</f>
        <v/>
      </c>
    </row>
    <row r="57" customFormat="false" ht="15" hidden="false" customHeight="true" outlineLevel="0" collapsed="false">
      <c r="A57" s="11" t="str">
        <f aca="false">IFERROR(INDEX($J$5:$J$44,MATCH($A$54&amp;"#"&amp;3,$I$5:$I$44,0)),"")</f>
        <v/>
      </c>
      <c r="B57" s="12" t="str">
        <f aca="false">IFERROR(INDEX($K$5:$K$44,MATCH($A$54&amp;"#"&amp;3,$I$5:$I$44,0)),"")</f>
        <v/>
      </c>
      <c r="F57" s="13" t="str">
        <f aca="false">IFERROR(INDEX($L$5:$L$44,MATCH($A$54&amp;"#"&amp;3,$I$5:$I$44,0)),"")</f>
        <v/>
      </c>
    </row>
    <row r="58" customFormat="false" ht="15" hidden="false" customHeight="true" outlineLevel="0" collapsed="false">
      <c r="A58" s="11" t="str">
        <f aca="false">IFERROR(INDEX($J$5:$J$44,MATCH($A$54&amp;"#"&amp;4,$I$5:$I$44,0)),"")</f>
        <v/>
      </c>
      <c r="B58" s="12" t="str">
        <f aca="false">IFERROR(INDEX($K$5:$K$44,MATCH($A$54&amp;"#"&amp;4,$I$5:$I$44,0)),"")</f>
        <v/>
      </c>
      <c r="F58" s="13" t="str">
        <f aca="false">IFERROR(INDEX($L$5:$L$44,MATCH($A$54&amp;"#"&amp;4,$I$5:$I$44,0)),"")</f>
        <v/>
      </c>
    </row>
    <row r="59" customFormat="false" ht="15" hidden="false" customHeight="true" outlineLevel="0" collapsed="false">
      <c r="A59" s="11" t="str">
        <f aca="false">IFERROR(INDEX($J$5:$J$44,MATCH($A$54&amp;"#"&amp;5,$I$5:$I$44,0)),"")</f>
        <v/>
      </c>
      <c r="B59" s="12" t="str">
        <f aca="false">IFERROR(INDEX($K$5:$K$44,MATCH($A$54&amp;"#"&amp;5,$I$5:$I$44,0)),"")</f>
        <v/>
      </c>
      <c r="F59" s="13" t="str">
        <f aca="false">IFERROR(INDEX($L$5:$L$44,MATCH($A$54&amp;"#"&amp;5,$I$5:$I$44,0)),"")</f>
        <v/>
      </c>
    </row>
    <row r="60" customFormat="false" ht="15" hidden="false" customHeight="true" outlineLevel="0" collapsed="false">
      <c r="A60" s="11" t="str">
        <f aca="false">IFERROR(INDEX($J$5:$J$44,MATCH($A$54&amp;"#"&amp;6,$I$5:$I$44,0)),"")</f>
        <v/>
      </c>
      <c r="B60" s="12" t="str">
        <f aca="false">IFERROR(INDEX($K$5:$K$44,MATCH($A$54&amp;"#"&amp;6,$I$5:$I$44,0)),"")</f>
        <v/>
      </c>
      <c r="F60" s="13" t="str">
        <f aca="false">IFERROR(INDEX($L$5:$L$44,MATCH($A$54&amp;"#"&amp;6,$I$5:$I$44,0)),"")</f>
        <v/>
      </c>
    </row>
    <row r="61" customFormat="false" ht="15" hidden="false" customHeight="true" outlineLevel="0" collapsed="false">
      <c r="A61" s="5"/>
      <c r="B61" s="6"/>
      <c r="C61" s="6"/>
      <c r="D61" s="7"/>
      <c r="E61" s="6"/>
      <c r="F61" s="8" t="str">
        <f aca="false">IF($A$61="","",SUMIF(Invoices!$J$5:$J$44,$A$61,Invoices!$C$5:$C$44))</f>
        <v/>
      </c>
      <c r="G61" s="8" t="str">
        <f aca="false">IF($A$61="","",D61-F61)</f>
        <v/>
      </c>
    </row>
    <row r="62" customFormat="false" ht="15" hidden="false" customHeight="true" outlineLevel="0" collapsed="false">
      <c r="A62" s="11" t="str">
        <f aca="false">IFERROR(INDEX($J$5:$J$44,MATCH($A$61&amp;"#"&amp;1,$I$5:$I$44,0)),"")</f>
        <v/>
      </c>
      <c r="B62" s="12" t="str">
        <f aca="false">IFERROR(INDEX($K$5:$K$44,MATCH($A$61&amp;"#"&amp;1,$I$5:$I$44,0)),"")</f>
        <v/>
      </c>
      <c r="F62" s="13" t="str">
        <f aca="false">IFERROR(INDEX($L$5:$L$44,MATCH($A$61&amp;"#"&amp;1,$I$5:$I$44,0)),"")</f>
        <v/>
      </c>
    </row>
    <row r="63" customFormat="false" ht="15" hidden="false" customHeight="true" outlineLevel="0" collapsed="false">
      <c r="A63" s="11" t="str">
        <f aca="false">IFERROR(INDEX($J$5:$J$44,MATCH($A$61&amp;"#"&amp;2,$I$5:$I$44,0)),"")</f>
        <v/>
      </c>
      <c r="B63" s="12" t="str">
        <f aca="false">IFERROR(INDEX($K$5:$K$44,MATCH($A$61&amp;"#"&amp;2,$I$5:$I$44,0)),"")</f>
        <v/>
      </c>
      <c r="F63" s="13" t="str">
        <f aca="false">IFERROR(INDEX($L$5:$L$44,MATCH($A$61&amp;"#"&amp;2,$I$5:$I$44,0)),"")</f>
        <v/>
      </c>
    </row>
    <row r="64" customFormat="false" ht="15" hidden="false" customHeight="true" outlineLevel="0" collapsed="false">
      <c r="A64" s="11" t="str">
        <f aca="false">IFERROR(INDEX($J$5:$J$44,MATCH($A$61&amp;"#"&amp;3,$I$5:$I$44,0)),"")</f>
        <v/>
      </c>
      <c r="B64" s="12" t="str">
        <f aca="false">IFERROR(INDEX($K$5:$K$44,MATCH($A$61&amp;"#"&amp;3,$I$5:$I$44,0)),"")</f>
        <v/>
      </c>
      <c r="F64" s="13" t="str">
        <f aca="false">IFERROR(INDEX($L$5:$L$44,MATCH($A$61&amp;"#"&amp;3,$I$5:$I$44,0)),"")</f>
        <v/>
      </c>
    </row>
    <row r="65" customFormat="false" ht="15" hidden="false" customHeight="true" outlineLevel="0" collapsed="false">
      <c r="A65" s="11" t="str">
        <f aca="false">IFERROR(INDEX($J$5:$J$44,MATCH($A$61&amp;"#"&amp;4,$I$5:$I$44,0)),"")</f>
        <v/>
      </c>
      <c r="B65" s="12" t="str">
        <f aca="false">IFERROR(INDEX($K$5:$K$44,MATCH($A$61&amp;"#"&amp;4,$I$5:$I$44,0)),"")</f>
        <v/>
      </c>
      <c r="F65" s="13" t="str">
        <f aca="false">IFERROR(INDEX($L$5:$L$44,MATCH($A$61&amp;"#"&amp;4,$I$5:$I$44,0)),"")</f>
        <v/>
      </c>
    </row>
    <row r="66" customFormat="false" ht="15" hidden="false" customHeight="true" outlineLevel="0" collapsed="false">
      <c r="A66" s="11" t="str">
        <f aca="false">IFERROR(INDEX($J$5:$J$44,MATCH($A$61&amp;"#"&amp;5,$I$5:$I$44,0)),"")</f>
        <v/>
      </c>
      <c r="B66" s="12" t="str">
        <f aca="false">IFERROR(INDEX($K$5:$K$44,MATCH($A$61&amp;"#"&amp;5,$I$5:$I$44,0)),"")</f>
        <v/>
      </c>
      <c r="F66" s="13" t="str">
        <f aca="false">IFERROR(INDEX($L$5:$L$44,MATCH($A$61&amp;"#"&amp;5,$I$5:$I$44,0)),"")</f>
        <v/>
      </c>
    </row>
    <row r="67" customFormat="false" ht="15" hidden="false" customHeight="true" outlineLevel="0" collapsed="false">
      <c r="A67" s="11" t="str">
        <f aca="false">IFERROR(INDEX($J$5:$J$44,MATCH($A$61&amp;"#"&amp;6,$I$5:$I$44,0)),"")</f>
        <v/>
      </c>
      <c r="B67" s="12" t="str">
        <f aca="false">IFERROR(INDEX($K$5:$K$44,MATCH($A$61&amp;"#"&amp;6,$I$5:$I$44,0)),"")</f>
        <v/>
      </c>
      <c r="F67" s="13" t="str">
        <f aca="false">IFERROR(INDEX($L$5:$L$44,MATCH($A$61&amp;"#"&amp;6,$I$5:$I$44,0)),"")</f>
        <v/>
      </c>
    </row>
    <row r="68" customFormat="false" ht="15" hidden="false" customHeight="true" outlineLevel="0" collapsed="false">
      <c r="A68" s="5"/>
      <c r="B68" s="6"/>
      <c r="C68" s="6"/>
      <c r="D68" s="7"/>
      <c r="E68" s="6"/>
      <c r="F68" s="8" t="str">
        <f aca="false">IF($A$68="","",SUMIF(Invoices!$J$5:$J$44,$A$68,Invoices!$C$5:$C$44))</f>
        <v/>
      </c>
      <c r="G68" s="8" t="str">
        <f aca="false">IF($A$68="","",D68-F68)</f>
        <v/>
      </c>
    </row>
    <row r="69" customFormat="false" ht="15" hidden="false" customHeight="true" outlineLevel="0" collapsed="false">
      <c r="A69" s="11" t="str">
        <f aca="false">IFERROR(INDEX($J$5:$J$44,MATCH($A$68&amp;"#"&amp;1,$I$5:$I$44,0)),"")</f>
        <v/>
      </c>
      <c r="B69" s="12" t="str">
        <f aca="false">IFERROR(INDEX($K$5:$K$44,MATCH($A$68&amp;"#"&amp;1,$I$5:$I$44,0)),"")</f>
        <v/>
      </c>
      <c r="F69" s="13" t="str">
        <f aca="false">IFERROR(INDEX($L$5:$L$44,MATCH($A$68&amp;"#"&amp;1,$I$5:$I$44,0)),"")</f>
        <v/>
      </c>
    </row>
    <row r="70" customFormat="false" ht="15" hidden="false" customHeight="true" outlineLevel="0" collapsed="false">
      <c r="A70" s="11" t="str">
        <f aca="false">IFERROR(INDEX($J$5:$J$44,MATCH($A$68&amp;"#"&amp;2,$I$5:$I$44,0)),"")</f>
        <v/>
      </c>
      <c r="B70" s="12" t="str">
        <f aca="false">IFERROR(INDEX($K$5:$K$44,MATCH($A$68&amp;"#"&amp;2,$I$5:$I$44,0)),"")</f>
        <v/>
      </c>
      <c r="F70" s="13" t="str">
        <f aca="false">IFERROR(INDEX($L$5:$L$44,MATCH($A$68&amp;"#"&amp;2,$I$5:$I$44,0)),"")</f>
        <v/>
      </c>
    </row>
    <row r="71" customFormat="false" ht="15" hidden="false" customHeight="true" outlineLevel="0" collapsed="false">
      <c r="A71" s="11" t="str">
        <f aca="false">IFERROR(INDEX($J$5:$J$44,MATCH($A$68&amp;"#"&amp;3,$I$5:$I$44,0)),"")</f>
        <v/>
      </c>
      <c r="B71" s="12" t="str">
        <f aca="false">IFERROR(INDEX($K$5:$K$44,MATCH($A$68&amp;"#"&amp;3,$I$5:$I$44,0)),"")</f>
        <v/>
      </c>
      <c r="F71" s="13" t="str">
        <f aca="false">IFERROR(INDEX($L$5:$L$44,MATCH($A$68&amp;"#"&amp;3,$I$5:$I$44,0)),"")</f>
        <v/>
      </c>
    </row>
    <row r="72" customFormat="false" ht="15" hidden="false" customHeight="true" outlineLevel="0" collapsed="false">
      <c r="A72" s="11" t="str">
        <f aca="false">IFERROR(INDEX($J$5:$J$44,MATCH($A$68&amp;"#"&amp;4,$I$5:$I$44,0)),"")</f>
        <v/>
      </c>
      <c r="B72" s="12" t="str">
        <f aca="false">IFERROR(INDEX($K$5:$K$44,MATCH($A$68&amp;"#"&amp;4,$I$5:$I$44,0)),"")</f>
        <v/>
      </c>
      <c r="F72" s="13" t="str">
        <f aca="false">IFERROR(INDEX($L$5:$L$44,MATCH($A$68&amp;"#"&amp;4,$I$5:$I$44,0)),"")</f>
        <v/>
      </c>
    </row>
    <row r="73" customFormat="false" ht="15" hidden="false" customHeight="true" outlineLevel="0" collapsed="false">
      <c r="A73" s="11" t="str">
        <f aca="false">IFERROR(INDEX($J$5:$J$44,MATCH($A$68&amp;"#"&amp;5,$I$5:$I$44,0)),"")</f>
        <v/>
      </c>
      <c r="B73" s="12" t="str">
        <f aca="false">IFERROR(INDEX($K$5:$K$44,MATCH($A$68&amp;"#"&amp;5,$I$5:$I$44,0)),"")</f>
        <v/>
      </c>
      <c r="F73" s="13" t="str">
        <f aca="false">IFERROR(INDEX($L$5:$L$44,MATCH($A$68&amp;"#"&amp;5,$I$5:$I$44,0)),"")</f>
        <v/>
      </c>
    </row>
    <row r="74" customFormat="false" ht="15" hidden="false" customHeight="true" outlineLevel="0" collapsed="false">
      <c r="A74" s="11" t="str">
        <f aca="false">IFERROR(INDEX($J$5:$J$44,MATCH($A$68&amp;"#"&amp;6,$I$5:$I$44,0)),"")</f>
        <v/>
      </c>
      <c r="B74" s="12" t="str">
        <f aca="false">IFERROR(INDEX($K$5:$K$44,MATCH($A$68&amp;"#"&amp;6,$I$5:$I$44,0)),"")</f>
        <v/>
      </c>
      <c r="F74" s="13" t="str">
        <f aca="false">IFERROR(INDEX($L$5:$L$44,MATCH($A$68&amp;"#"&amp;6,$I$5:$I$44,0)),"")</f>
        <v/>
      </c>
    </row>
    <row r="75" customFormat="false" ht="15" hidden="false" customHeight="true" outlineLevel="0" collapsed="false">
      <c r="A75" s="14" t="s">
        <v>13</v>
      </c>
      <c r="B75" s="15"/>
      <c r="C75" s="15"/>
      <c r="D75" s="16" t="n">
        <f aca="false">SUM(D5,D12,D19,D26,D33,D40,D47,D54,D61,D68)</f>
        <v>10000</v>
      </c>
      <c r="E75" s="15"/>
      <c r="F75" s="16" t="n">
        <f aca="false">SUM(F5,F12,F19,F26,F33,F40,F47,F54,F61,F68)</f>
        <v>1000</v>
      </c>
      <c r="G75" s="16" t="n">
        <f aca="false">SUM(G5,G12,G19,G26,G33,G40,G47,G54,G61,G68)</f>
        <v>9000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6" min="3" style="1" width="13"/>
    <col collapsed="false" customWidth="true" hidden="false" outlineLevel="0" max="7" min="7" style="1" width="14"/>
    <col collapsed="false" customWidth="true" hidden="false" outlineLevel="0" max="8" min="8" style="1" width="34"/>
  </cols>
  <sheetData>
    <row r="1" customFormat="false" ht="15.75" hidden="false" customHeight="true" outlineLevel="0" collapsed="false">
      <c r="A1" s="17" t="s">
        <v>14</v>
      </c>
      <c r="G1" s="18" t="s">
        <v>15</v>
      </c>
      <c r="H1" s="19" t="n">
        <f aca="false">SUM(E5:E200)</f>
        <v>5000</v>
      </c>
    </row>
    <row r="2" customFormat="false" ht="43.5" hidden="false" customHeight="true" outlineLevel="0" collapsed="false">
      <c r="A2" s="20" t="s">
        <v>16</v>
      </c>
      <c r="B2" s="20"/>
      <c r="C2" s="20"/>
      <c r="D2" s="20"/>
      <c r="E2" s="20"/>
      <c r="F2" s="20"/>
      <c r="G2" s="20"/>
      <c r="H2" s="20"/>
    </row>
    <row r="4" customFormat="false" ht="26.25" hidden="false" customHeight="true" outlineLevel="0" collapsed="false">
      <c r="A4" s="4" t="s">
        <v>2</v>
      </c>
      <c r="B4" s="4" t="s">
        <v>3</v>
      </c>
      <c r="C4" s="4" t="s">
        <v>5</v>
      </c>
      <c r="D4" s="4" t="s">
        <v>6</v>
      </c>
      <c r="E4" s="4" t="s">
        <v>17</v>
      </c>
      <c r="F4" s="4" t="s">
        <v>18</v>
      </c>
      <c r="G4" s="4" t="s">
        <v>19</v>
      </c>
      <c r="H4" s="4" t="s">
        <v>20</v>
      </c>
    </row>
    <row r="5" customFormat="false" ht="15" hidden="false" customHeight="true" outlineLevel="0" collapsed="false">
      <c r="A5" s="21" t="s">
        <v>21</v>
      </c>
      <c r="B5" s="21" t="s">
        <v>10</v>
      </c>
      <c r="C5" s="22" t="n">
        <v>5000</v>
      </c>
      <c r="D5" s="21" t="s">
        <v>22</v>
      </c>
      <c r="E5" s="22" t="n">
        <v>5000</v>
      </c>
      <c r="F5" s="22" t="n">
        <v>0</v>
      </c>
      <c r="G5" s="23" t="n">
        <v>46022</v>
      </c>
      <c r="H5" s="21" t="s">
        <v>23</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C9" activeCellId="0" sqref="C9"/>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1" width="20"/>
    <col collapsed="false" customWidth="true" hidden="false" outlineLevel="0" max="3" min="3" style="1" width="14"/>
    <col collapsed="false" customWidth="true" hidden="false" outlineLevel="0" max="4" min="4" style="1" width="12"/>
    <col collapsed="false" customWidth="true" hidden="false" outlineLevel="0" max="5" min="5" style="1" width="13"/>
    <col collapsed="false" customWidth="true" hidden="false" outlineLevel="0" max="6" min="6" style="1" width="21.29"/>
    <col collapsed="false" customWidth="true" hidden="false" outlineLevel="0" max="7" min="7" style="1" width="13"/>
    <col collapsed="false" customWidth="true" hidden="false" outlineLevel="0" max="8" min="8" style="1" width="12"/>
    <col collapsed="false" customWidth="true" hidden="false" outlineLevel="0" max="9" min="9" style="1" width="14"/>
    <col collapsed="false" customWidth="true" hidden="false" outlineLevel="0" max="10" min="10" style="1" width="21.38"/>
    <col collapsed="false" customWidth="true" hidden="false" outlineLevel="0" max="11" min="11" style="1" width="15.56"/>
    <col collapsed="false" customWidth="true" hidden="false" outlineLevel="0" max="12" min="12" style="1" width="14.01"/>
    <col collapsed="false" customWidth="true" hidden="true" outlineLevel="0" max="13" min="13" style="1" width="14.47"/>
    <col collapsed="false" customWidth="true" hidden="true" outlineLevel="0" max="15" min="14" style="1" width="13"/>
    <col collapsed="false" customWidth="true" hidden="false" outlineLevel="0" max="16" min="16" style="1" width="34.76"/>
    <col collapsed="false" customWidth="true" hidden="false" outlineLevel="0" max="17" min="17" style="1" width="12.74"/>
  </cols>
  <sheetData>
    <row r="1" customFormat="false" ht="19.5" hidden="false" customHeight="true" outlineLevel="0" collapsed="false">
      <c r="A1" s="24" t="s">
        <v>24</v>
      </c>
      <c r="M1" s="1" t="n">
        <f aca="true">YEAR(TODAY())*4+ROUNDUP(MONTH(TODAY())/3,0)-1</f>
        <v>8106</v>
      </c>
    </row>
    <row r="2" customFormat="false" ht="15" hidden="false" customHeight="true" outlineLevel="0" collapsed="false">
      <c r="A2" s="25" t="s">
        <v>25</v>
      </c>
    </row>
    <row r="4" customFormat="false" ht="26.25" hidden="false" customHeight="true" outlineLevel="0" collapsed="false">
      <c r="A4" s="4" t="s">
        <v>26</v>
      </c>
      <c r="B4" s="4" t="s">
        <v>3</v>
      </c>
      <c r="C4" s="4" t="s">
        <v>27</v>
      </c>
      <c r="D4" s="26" t="s">
        <v>28</v>
      </c>
      <c r="E4" s="4" t="s">
        <v>29</v>
      </c>
      <c r="F4" s="4" t="s">
        <v>4</v>
      </c>
      <c r="G4" s="4" t="s">
        <v>30</v>
      </c>
      <c r="H4" s="26" t="s">
        <v>31</v>
      </c>
      <c r="I4" s="4" t="s">
        <v>32</v>
      </c>
      <c r="J4" s="4" t="s">
        <v>2</v>
      </c>
      <c r="K4" s="4" t="s">
        <v>6</v>
      </c>
      <c r="L4" s="4" t="s">
        <v>33</v>
      </c>
    </row>
    <row r="5" customFormat="false" ht="15" hidden="false" customHeight="true" outlineLevel="0" collapsed="false">
      <c r="A5" s="27" t="s">
        <v>34</v>
      </c>
      <c r="B5" s="27" t="s">
        <v>10</v>
      </c>
      <c r="C5" s="28" t="n">
        <v>1000</v>
      </c>
      <c r="D5" s="29"/>
      <c r="E5" s="30" t="n">
        <v>46037</v>
      </c>
      <c r="F5" s="27" t="s">
        <v>35</v>
      </c>
      <c r="G5" s="30"/>
      <c r="H5" s="31" t="str">
        <f aca="true">IF(F5="Pending payment",IF(G5="","",G5-TODAY()),"")</f>
        <v/>
      </c>
      <c r="I5" s="30"/>
      <c r="J5" s="27" t="s">
        <v>9</v>
      </c>
      <c r="K5" s="27"/>
      <c r="L5" s="32" t="str">
        <f aca="false">IF(E5="","",IF($M$1-N5=0,"This quarter",IF($M$1-N5=1,"Last quarter",IF($M$1-N5&lt;0,"Future","Older"))))</f>
        <v>Older</v>
      </c>
      <c r="N5" s="1" t="n">
        <f aca="false">IF(E5="","",YEAR(E5)*4+ROUNDUP(MONTH(E5)/3,0)-1)</f>
        <v>8104</v>
      </c>
    </row>
    <row r="6" customFormat="false" ht="15" hidden="false" customHeight="true" outlineLevel="0" collapsed="false">
      <c r="A6" s="27"/>
      <c r="B6" s="27"/>
      <c r="C6" s="28"/>
      <c r="D6" s="29"/>
      <c r="E6" s="30"/>
      <c r="F6" s="27"/>
      <c r="G6" s="30"/>
      <c r="H6" s="31" t="str">
        <f aca="true">IF(F6="Pending payment",IF(G6="","",G6-TODAY()),"")</f>
        <v/>
      </c>
      <c r="I6" s="30"/>
      <c r="J6" s="27"/>
      <c r="K6" s="27"/>
      <c r="L6" s="32" t="str">
        <f aca="false">IF(E6="","",IF($M$1-N6=0,"This quarter",IF($M$1-N6=1,"Last quarter",IF($M$1-N6&lt;0,"Future","Older"))))</f>
        <v/>
      </c>
      <c r="N6" s="1" t="str">
        <f aca="false">IF(E6="","",YEAR(E6)*4+ROUNDUP(MONTH(E6)/3,0)-1)</f>
        <v/>
      </c>
    </row>
    <row r="7" customFormat="false" ht="15" hidden="false" customHeight="true" outlineLevel="0" collapsed="false">
      <c r="A7" s="27"/>
      <c r="B7" s="27"/>
      <c r="C7" s="28"/>
      <c r="D7" s="29"/>
      <c r="E7" s="30"/>
      <c r="F7" s="27"/>
      <c r="G7" s="30"/>
      <c r="H7" s="31" t="str">
        <f aca="true">IF(F7="Pending payment",IF(G7="","",G7-TODAY()),"")</f>
        <v/>
      </c>
      <c r="I7" s="30"/>
      <c r="J7" s="27"/>
      <c r="K7" s="27"/>
      <c r="L7" s="32" t="str">
        <f aca="false">IF(E7="","",IF($M$1-N7=0,"This quarter",IF($M$1-N7=1,"Last quarter",IF($M$1-N7&lt;0,"Future","Older"))))</f>
        <v/>
      </c>
      <c r="N7" s="1" t="str">
        <f aca="false">IF(E7="","",YEAR(E7)*4+ROUNDUP(MONTH(E7)/3,0)-1)</f>
        <v/>
      </c>
    </row>
    <row r="8" customFormat="false" ht="15" hidden="false" customHeight="true" outlineLevel="0" collapsed="false">
      <c r="A8" s="27"/>
      <c r="B8" s="27"/>
      <c r="C8" s="28"/>
      <c r="D8" s="29"/>
      <c r="E8" s="30"/>
      <c r="F8" s="27"/>
      <c r="G8" s="30"/>
      <c r="H8" s="31" t="str">
        <f aca="true">IF(F8="Pending payment",IF(G8="","",G8-TODAY()),"")</f>
        <v/>
      </c>
      <c r="I8" s="30"/>
      <c r="J8" s="27"/>
      <c r="K8" s="27"/>
      <c r="L8" s="32" t="str">
        <f aca="false">IF(E8="","",IF($M$1-N8=0,"This quarter",IF($M$1-N8=1,"Last quarter",IF($M$1-N8&lt;0,"Future","Older"))))</f>
        <v/>
      </c>
      <c r="N8" s="1" t="str">
        <f aca="false">IF(E8="","",YEAR(E8)*4+ROUNDUP(MONTH(E8)/3,0)-1)</f>
        <v/>
      </c>
    </row>
    <row r="9" customFormat="false" ht="15" hidden="false" customHeight="true" outlineLevel="0" collapsed="false">
      <c r="A9" s="27"/>
      <c r="B9" s="27"/>
      <c r="C9" s="28"/>
      <c r="D9" s="29"/>
      <c r="E9" s="30"/>
      <c r="F9" s="27"/>
      <c r="G9" s="30"/>
      <c r="H9" s="31" t="str">
        <f aca="true">IF(F9="Pending payment",IF(G9="","",G9-TODAY()),"")</f>
        <v/>
      </c>
      <c r="I9" s="30"/>
      <c r="J9" s="27"/>
      <c r="K9" s="27"/>
      <c r="L9" s="32" t="str">
        <f aca="false">IF(E9="","",IF($M$1-N9=0,"This quarter",IF($M$1-N9=1,"Last quarter",IF($M$1-N9&lt;0,"Future","Older"))))</f>
        <v/>
      </c>
      <c r="N9" s="1" t="str">
        <f aca="false">IF(E9="","",YEAR(E9)*4+ROUNDUP(MONTH(E9)/3,0)-1)</f>
        <v/>
      </c>
    </row>
    <row r="10" customFormat="false" ht="15" hidden="false" customHeight="true" outlineLevel="0" collapsed="false">
      <c r="A10" s="27"/>
      <c r="B10" s="27"/>
      <c r="C10" s="28"/>
      <c r="D10" s="29"/>
      <c r="E10" s="30"/>
      <c r="F10" s="27"/>
      <c r="G10" s="30"/>
      <c r="H10" s="31" t="str">
        <f aca="true">IF(F10="Pending payment",IF(G10="","",G10-TODAY()),"")</f>
        <v/>
      </c>
      <c r="I10" s="30"/>
      <c r="J10" s="27"/>
      <c r="K10" s="27"/>
      <c r="L10" s="32" t="str">
        <f aca="false">IF(E10="","",IF($M$1-N10=0,"This quarter",IF($M$1-N10=1,"Last quarter",IF($M$1-N10&lt;0,"Future","Older"))))</f>
        <v/>
      </c>
      <c r="N10" s="1" t="str">
        <f aca="false">IF(E10="","",YEAR(E10)*4+ROUNDUP(MONTH(E10)/3,0)-1)</f>
        <v/>
      </c>
    </row>
    <row r="11" customFormat="false" ht="15" hidden="false" customHeight="true" outlineLevel="0" collapsed="false">
      <c r="A11" s="27"/>
      <c r="B11" s="27"/>
      <c r="C11" s="28"/>
      <c r="D11" s="29"/>
      <c r="E11" s="30"/>
      <c r="F11" s="27"/>
      <c r="G11" s="30"/>
      <c r="H11" s="31" t="str">
        <f aca="true">IF(F11="Pending payment",IF(G11="","",G11-TODAY()),"")</f>
        <v/>
      </c>
      <c r="I11" s="30"/>
      <c r="J11" s="27"/>
      <c r="K11" s="27"/>
      <c r="L11" s="32" t="str">
        <f aca="false">IF(E11="","",IF($M$1-N11=0,"This quarter",IF($M$1-N11=1,"Last quarter",IF($M$1-N11&lt;0,"Future","Older"))))</f>
        <v/>
      </c>
      <c r="N11" s="1" t="str">
        <f aca="false">IF(E11="","",YEAR(E11)*4+ROUNDUP(MONTH(E11)/3,0)-1)</f>
        <v/>
      </c>
    </row>
    <row r="12" customFormat="false" ht="15" hidden="false" customHeight="true" outlineLevel="0" collapsed="false">
      <c r="A12" s="27"/>
      <c r="B12" s="27"/>
      <c r="C12" s="28"/>
      <c r="D12" s="29"/>
      <c r="E12" s="30"/>
      <c r="F12" s="27"/>
      <c r="G12" s="30"/>
      <c r="H12" s="31" t="str">
        <f aca="true">IF(F12="Pending payment",IF(G12="","",G12-TODAY()),"")</f>
        <v/>
      </c>
      <c r="I12" s="30"/>
      <c r="J12" s="27"/>
      <c r="K12" s="27"/>
      <c r="L12" s="32" t="str">
        <f aca="false">IF(E12="","",IF($M$1-N12=0,"This quarter",IF($M$1-N12=1,"Last quarter",IF($M$1-N12&lt;0,"Future","Older"))))</f>
        <v/>
      </c>
      <c r="N12" s="1" t="str">
        <f aca="false">IF(E12="","",YEAR(E12)*4+ROUNDUP(MONTH(E12)/3,0)-1)</f>
        <v/>
      </c>
    </row>
    <row r="13" customFormat="false" ht="15" hidden="false" customHeight="true" outlineLevel="0" collapsed="false">
      <c r="A13" s="27"/>
      <c r="B13" s="27"/>
      <c r="C13" s="28"/>
      <c r="D13" s="29"/>
      <c r="E13" s="30"/>
      <c r="F13" s="27"/>
      <c r="G13" s="30"/>
      <c r="H13" s="31" t="str">
        <f aca="true">IF(F13="Pending payment",IF(G13="","",G13-TODAY()),"")</f>
        <v/>
      </c>
      <c r="I13" s="30"/>
      <c r="J13" s="27"/>
      <c r="K13" s="27"/>
      <c r="L13" s="32" t="str">
        <f aca="false">IF(E13="","",IF($M$1-N13=0,"This quarter",IF($M$1-N13=1,"Last quarter",IF($M$1-N13&lt;0,"Future","Older"))))</f>
        <v/>
      </c>
      <c r="N13" s="1" t="str">
        <f aca="false">IF(E13="","",YEAR(E13)*4+ROUNDUP(MONTH(E13)/3,0)-1)</f>
        <v/>
      </c>
    </row>
    <row r="14" customFormat="false" ht="15" hidden="false" customHeight="true" outlineLevel="0" collapsed="false">
      <c r="A14" s="27"/>
      <c r="B14" s="27"/>
      <c r="C14" s="28"/>
      <c r="D14" s="29"/>
      <c r="E14" s="30"/>
      <c r="F14" s="27"/>
      <c r="G14" s="30"/>
      <c r="H14" s="31" t="str">
        <f aca="true">IF(F14="Pending payment",IF(G14="","",G14-TODAY()),"")</f>
        <v/>
      </c>
      <c r="I14" s="30"/>
      <c r="J14" s="27"/>
      <c r="K14" s="27"/>
      <c r="L14" s="32" t="str">
        <f aca="false">IF(E14="","",IF($M$1-N14=0,"This quarter",IF($M$1-N14=1,"Last quarter",IF($M$1-N14&lt;0,"Future","Older"))))</f>
        <v/>
      </c>
      <c r="N14" s="1" t="str">
        <f aca="false">IF(E14="","",YEAR(E14)*4+ROUNDUP(MONTH(E14)/3,0)-1)</f>
        <v/>
      </c>
    </row>
    <row r="15" customFormat="false" ht="15" hidden="false" customHeight="true" outlineLevel="0" collapsed="false">
      <c r="A15" s="27"/>
      <c r="B15" s="27"/>
      <c r="C15" s="28"/>
      <c r="D15" s="29"/>
      <c r="E15" s="30"/>
      <c r="F15" s="27"/>
      <c r="G15" s="30"/>
      <c r="H15" s="31" t="str">
        <f aca="true">IF(F15="Pending payment",IF(G15="","",G15-TODAY()),"")</f>
        <v/>
      </c>
      <c r="I15" s="30"/>
      <c r="J15" s="27"/>
      <c r="K15" s="27"/>
      <c r="L15" s="32" t="str">
        <f aca="false">IF(E15="","",IF($M$1-N15=0,"This quarter",IF($M$1-N15=1,"Last quarter",IF($M$1-N15&lt;0,"Future","Older"))))</f>
        <v/>
      </c>
      <c r="N15" s="1" t="str">
        <f aca="false">IF(E15="","",YEAR(E15)*4+ROUNDUP(MONTH(E15)/3,0)-1)</f>
        <v/>
      </c>
    </row>
    <row r="16" customFormat="false" ht="15" hidden="false" customHeight="true" outlineLevel="0" collapsed="false">
      <c r="A16" s="27"/>
      <c r="B16" s="27"/>
      <c r="C16" s="28"/>
      <c r="D16" s="29"/>
      <c r="E16" s="30"/>
      <c r="F16" s="27"/>
      <c r="G16" s="30"/>
      <c r="H16" s="31" t="str">
        <f aca="true">IF(F16="Pending payment",IF(G16="","",G16-TODAY()),"")</f>
        <v/>
      </c>
      <c r="I16" s="30"/>
      <c r="J16" s="27"/>
      <c r="K16" s="27"/>
      <c r="L16" s="32" t="str">
        <f aca="false">IF(E16="","",IF($M$1-N16=0,"This quarter",IF($M$1-N16=1,"Last quarter",IF($M$1-N16&lt;0,"Future","Older"))))</f>
        <v/>
      </c>
      <c r="N16" s="1" t="str">
        <f aca="false">IF(E16="","",YEAR(E16)*4+ROUNDUP(MONTH(E16)/3,0)-1)</f>
        <v/>
      </c>
    </row>
    <row r="17" customFormat="false" ht="15" hidden="false" customHeight="true" outlineLevel="0" collapsed="false">
      <c r="A17" s="27"/>
      <c r="B17" s="27"/>
      <c r="C17" s="28"/>
      <c r="D17" s="29"/>
      <c r="E17" s="30"/>
      <c r="F17" s="27"/>
      <c r="G17" s="30"/>
      <c r="H17" s="31" t="str">
        <f aca="true">IF(F17="Pending payment",IF(G17="","",G17-TODAY()),"")</f>
        <v/>
      </c>
      <c r="I17" s="30"/>
      <c r="J17" s="27"/>
      <c r="K17" s="27"/>
      <c r="L17" s="32" t="str">
        <f aca="false">IF(E17="","",IF($M$1-N17=0,"This quarter",IF($M$1-N17=1,"Last quarter",IF($M$1-N17&lt;0,"Future","Older"))))</f>
        <v/>
      </c>
      <c r="N17" s="1" t="str">
        <f aca="false">IF(E17="","",YEAR(E17)*4+ROUNDUP(MONTH(E17)/3,0)-1)</f>
        <v/>
      </c>
    </row>
    <row r="18" customFormat="false" ht="15" hidden="false" customHeight="true" outlineLevel="0" collapsed="false">
      <c r="A18" s="27"/>
      <c r="B18" s="27"/>
      <c r="C18" s="28"/>
      <c r="D18" s="29"/>
      <c r="E18" s="30"/>
      <c r="F18" s="27"/>
      <c r="G18" s="30"/>
      <c r="H18" s="31" t="str">
        <f aca="true">IF(F18="Pending payment",IF(G18="","",G18-TODAY()),"")</f>
        <v/>
      </c>
      <c r="I18" s="30"/>
      <c r="J18" s="27"/>
      <c r="K18" s="27"/>
      <c r="L18" s="32" t="str">
        <f aca="false">IF(E18="","",IF($M$1-N18=0,"This quarter",IF($M$1-N18=1,"Last quarter",IF($M$1-N18&lt;0,"Future","Older"))))</f>
        <v/>
      </c>
      <c r="N18" s="1" t="str">
        <f aca="false">IF(E18="","",YEAR(E18)*4+ROUNDUP(MONTH(E18)/3,0)-1)</f>
        <v/>
      </c>
    </row>
    <row r="19" customFormat="false" ht="15" hidden="false" customHeight="true" outlineLevel="0" collapsed="false">
      <c r="A19" s="27"/>
      <c r="B19" s="27"/>
      <c r="C19" s="28"/>
      <c r="D19" s="29"/>
      <c r="E19" s="30"/>
      <c r="F19" s="27"/>
      <c r="G19" s="30"/>
      <c r="H19" s="31" t="str">
        <f aca="true">IF(F19="Pending payment",IF(G19="","",G19-TODAY()),"")</f>
        <v/>
      </c>
      <c r="I19" s="30"/>
      <c r="J19" s="27"/>
      <c r="K19" s="27"/>
      <c r="L19" s="32" t="str">
        <f aca="false">IF(E19="","",IF($M$1-N19=0,"This quarter",IF($M$1-N19=1,"Last quarter",IF($M$1-N19&lt;0,"Future","Older"))))</f>
        <v/>
      </c>
      <c r="N19" s="1" t="str">
        <f aca="false">IF(E19="","",YEAR(E19)*4+ROUNDUP(MONTH(E19)/3,0)-1)</f>
        <v/>
      </c>
    </row>
    <row r="20" customFormat="false" ht="15" hidden="false" customHeight="true" outlineLevel="0" collapsed="false">
      <c r="A20" s="27"/>
      <c r="B20" s="27"/>
      <c r="C20" s="28"/>
      <c r="D20" s="29"/>
      <c r="E20" s="30"/>
      <c r="F20" s="27"/>
      <c r="G20" s="30"/>
      <c r="H20" s="31" t="str">
        <f aca="true">IF(F20="Pending payment",IF(G20="","",G20-TODAY()),"")</f>
        <v/>
      </c>
      <c r="I20" s="30"/>
      <c r="J20" s="27"/>
      <c r="K20" s="27"/>
      <c r="L20" s="32" t="str">
        <f aca="false">IF(E20="","",IF($M$1-N20=0,"This quarter",IF($M$1-N20=1,"Last quarter",IF($M$1-N20&lt;0,"Future","Older"))))</f>
        <v/>
      </c>
      <c r="N20" s="1" t="str">
        <f aca="false">IF(E20="","",YEAR(E20)*4+ROUNDUP(MONTH(E20)/3,0)-1)</f>
        <v/>
      </c>
    </row>
    <row r="21" customFormat="false" ht="15" hidden="false" customHeight="true" outlineLevel="0" collapsed="false">
      <c r="A21" s="27"/>
      <c r="B21" s="27"/>
      <c r="C21" s="28"/>
      <c r="D21" s="29"/>
      <c r="E21" s="30"/>
      <c r="F21" s="27"/>
      <c r="G21" s="30"/>
      <c r="H21" s="31" t="str">
        <f aca="true">IF(F21="Pending payment",IF(G21="","",G21-TODAY()),"")</f>
        <v/>
      </c>
      <c r="I21" s="30"/>
      <c r="J21" s="27"/>
      <c r="K21" s="27"/>
      <c r="L21" s="32" t="str">
        <f aca="false">IF(E21="","",IF($M$1-N21=0,"This quarter",IF($M$1-N21=1,"Last quarter",IF($M$1-N21&lt;0,"Future","Older"))))</f>
        <v/>
      </c>
      <c r="N21" s="1" t="str">
        <f aca="false">IF(E21="","",YEAR(E21)*4+ROUNDUP(MONTH(E21)/3,0)-1)</f>
        <v/>
      </c>
    </row>
    <row r="22" customFormat="false" ht="15" hidden="false" customHeight="true" outlineLevel="0" collapsed="false">
      <c r="A22" s="27"/>
      <c r="B22" s="27"/>
      <c r="C22" s="28"/>
      <c r="D22" s="29"/>
      <c r="E22" s="30"/>
      <c r="F22" s="27"/>
      <c r="G22" s="30"/>
      <c r="H22" s="31" t="str">
        <f aca="true">IF(F22="Pending payment",IF(G22="","",G22-TODAY()),"")</f>
        <v/>
      </c>
      <c r="I22" s="30"/>
      <c r="J22" s="27"/>
      <c r="K22" s="27"/>
      <c r="L22" s="32" t="str">
        <f aca="false">IF(E22="","",IF($M$1-N22=0,"This quarter",IF($M$1-N22=1,"Last quarter",IF($M$1-N22&lt;0,"Future","Older"))))</f>
        <v/>
      </c>
      <c r="N22" s="1" t="str">
        <f aca="false">IF(E22="","",YEAR(E22)*4+ROUNDUP(MONTH(E22)/3,0)-1)</f>
        <v/>
      </c>
    </row>
    <row r="23" customFormat="false" ht="15" hidden="false" customHeight="true" outlineLevel="0" collapsed="false">
      <c r="A23" s="27"/>
      <c r="B23" s="27"/>
      <c r="C23" s="28"/>
      <c r="D23" s="29"/>
      <c r="E23" s="30"/>
      <c r="F23" s="27"/>
      <c r="G23" s="30"/>
      <c r="H23" s="31" t="str">
        <f aca="true">IF(F23="Pending payment",IF(G23="","",G23-TODAY()),"")</f>
        <v/>
      </c>
      <c r="I23" s="30"/>
      <c r="J23" s="27"/>
      <c r="K23" s="27"/>
      <c r="L23" s="32" t="str">
        <f aca="false">IF(E23="","",IF($M$1-N23=0,"This quarter",IF($M$1-N23=1,"Last quarter",IF($M$1-N23&lt;0,"Future","Older"))))</f>
        <v/>
      </c>
      <c r="N23" s="1" t="str">
        <f aca="false">IF(E23="","",YEAR(E23)*4+ROUNDUP(MONTH(E23)/3,0)-1)</f>
        <v/>
      </c>
    </row>
    <row r="24" customFormat="false" ht="15" hidden="false" customHeight="true" outlineLevel="0" collapsed="false">
      <c r="A24" s="27"/>
      <c r="B24" s="27"/>
      <c r="C24" s="28"/>
      <c r="D24" s="29"/>
      <c r="E24" s="30"/>
      <c r="F24" s="27"/>
      <c r="G24" s="30"/>
      <c r="H24" s="31" t="str">
        <f aca="true">IF(F24="Pending payment",IF(G24="","",G24-TODAY()),"")</f>
        <v/>
      </c>
      <c r="I24" s="30"/>
      <c r="J24" s="27"/>
      <c r="K24" s="27"/>
      <c r="L24" s="32" t="str">
        <f aca="false">IF(E24="","",IF($M$1-N24=0,"This quarter",IF($M$1-N24=1,"Last quarter",IF($M$1-N24&lt;0,"Future","Older"))))</f>
        <v/>
      </c>
      <c r="N24" s="1" t="str">
        <f aca="false">IF(E24="","",YEAR(E24)*4+ROUNDUP(MONTH(E24)/3,0)-1)</f>
        <v/>
      </c>
    </row>
    <row r="25" customFormat="false" ht="15" hidden="false" customHeight="true" outlineLevel="0" collapsed="false">
      <c r="A25" s="33"/>
      <c r="B25" s="27"/>
      <c r="C25" s="28"/>
      <c r="D25" s="29"/>
      <c r="E25" s="30"/>
      <c r="F25" s="27"/>
      <c r="G25" s="30"/>
      <c r="H25" s="31" t="str">
        <f aca="true">IF(F25="Pending payment",IF(G25="","",G25-TODAY()),"")</f>
        <v/>
      </c>
      <c r="I25" s="30"/>
      <c r="J25" s="27"/>
      <c r="K25" s="27"/>
      <c r="L25" s="32" t="str">
        <f aca="false">IF(E25="","",IF($M$1-N25=0,"This quarter",IF($M$1-N25=1,"Last quarter",IF($M$1-N25&lt;0,"Future","Older"))))</f>
        <v/>
      </c>
      <c r="N25" s="1" t="str">
        <f aca="false">IF(E25="","",YEAR(E25)*4+ROUNDUP(MONTH(E25)/3,0)-1)</f>
        <v/>
      </c>
    </row>
    <row r="26" customFormat="false" ht="15" hidden="false" customHeight="true" outlineLevel="0" collapsed="false">
      <c r="A26" s="27"/>
      <c r="B26" s="27"/>
      <c r="C26" s="28"/>
      <c r="D26" s="29"/>
      <c r="E26" s="30"/>
      <c r="F26" s="27"/>
      <c r="G26" s="30"/>
      <c r="H26" s="31" t="str">
        <f aca="true">IF(F26="Pending payment",IF(G26="","",G26-TODAY()),"")</f>
        <v/>
      </c>
      <c r="I26" s="30"/>
      <c r="J26" s="27"/>
      <c r="K26" s="27"/>
      <c r="L26" s="32" t="str">
        <f aca="false">IF(E26="","",IF($M$1-N26=0,"This quarter",IF($M$1-N26=1,"Last quarter",IF($M$1-N26&lt;0,"Future","Older"))))</f>
        <v/>
      </c>
      <c r="N26" s="1" t="str">
        <f aca="false">IF(E26="","",YEAR(E26)*4+ROUNDUP(MONTH(E26)/3,0)-1)</f>
        <v/>
      </c>
    </row>
    <row r="27" customFormat="false" ht="15" hidden="false" customHeight="true" outlineLevel="0" collapsed="false">
      <c r="A27" s="27"/>
      <c r="B27" s="27"/>
      <c r="C27" s="28"/>
      <c r="D27" s="29"/>
      <c r="E27" s="30"/>
      <c r="F27" s="27"/>
      <c r="G27" s="30"/>
      <c r="H27" s="31" t="str">
        <f aca="true">IF(F27="Pending payment",IF(G27="","",G27-TODAY()),"")</f>
        <v/>
      </c>
      <c r="I27" s="30"/>
      <c r="J27" s="27"/>
      <c r="K27" s="27"/>
      <c r="L27" s="32" t="str">
        <f aca="false">IF(E27="","",IF($M$1-N27=0,"This quarter",IF($M$1-N27=1,"Last quarter",IF($M$1-N27&lt;0,"Future","Older"))))</f>
        <v/>
      </c>
      <c r="N27" s="1" t="str">
        <f aca="false">IF(E27="","",YEAR(E27)*4+ROUNDUP(MONTH(E27)/3,0)-1)</f>
        <v/>
      </c>
    </row>
    <row r="28" customFormat="false" ht="15" hidden="false" customHeight="true" outlineLevel="0" collapsed="false">
      <c r="A28" s="27"/>
      <c r="B28" s="27"/>
      <c r="C28" s="28"/>
      <c r="D28" s="29"/>
      <c r="E28" s="30"/>
      <c r="F28" s="27"/>
      <c r="G28" s="30"/>
      <c r="H28" s="31" t="str">
        <f aca="true">IF(F28="Pending payment",IF(G28="","",G28-TODAY()),"")</f>
        <v/>
      </c>
      <c r="I28" s="30"/>
      <c r="J28" s="27"/>
      <c r="K28" s="27"/>
      <c r="L28" s="32" t="str">
        <f aca="false">IF(E28="","",IF($M$1-N28=0,"This quarter",IF($M$1-N28=1,"Last quarter",IF($M$1-N28&lt;0,"Future","Older"))))</f>
        <v/>
      </c>
      <c r="N28" s="1" t="str">
        <f aca="false">IF(E28="","",YEAR(E28)*4+ROUNDUP(MONTH(E28)/3,0)-1)</f>
        <v/>
      </c>
    </row>
    <row r="29" customFormat="false" ht="15" hidden="false" customHeight="true" outlineLevel="0" collapsed="false">
      <c r="A29" s="27"/>
      <c r="B29" s="27"/>
      <c r="C29" s="28"/>
      <c r="D29" s="29"/>
      <c r="E29" s="30"/>
      <c r="F29" s="27"/>
      <c r="G29" s="30"/>
      <c r="H29" s="31" t="str">
        <f aca="true">IF(F29="Pending payment",IF(G29="","",G29-TODAY()),"")</f>
        <v/>
      </c>
      <c r="I29" s="30"/>
      <c r="J29" s="27"/>
      <c r="K29" s="27"/>
      <c r="L29" s="32" t="str">
        <f aca="false">IF(E29="","",IF($M$1-N29=0,"This quarter",IF($M$1-N29=1,"Last quarter",IF($M$1-N29&lt;0,"Future","Older"))))</f>
        <v/>
      </c>
      <c r="N29" s="1" t="str">
        <f aca="false">IF(E29="","",YEAR(E29)*4+ROUNDUP(MONTH(E29)/3,0)-1)</f>
        <v/>
      </c>
    </row>
    <row r="30" customFormat="false" ht="15" hidden="false" customHeight="true" outlineLevel="0" collapsed="false">
      <c r="A30" s="27"/>
      <c r="B30" s="27"/>
      <c r="C30" s="28"/>
      <c r="D30" s="29"/>
      <c r="E30" s="30"/>
      <c r="F30" s="27"/>
      <c r="G30" s="30"/>
      <c r="H30" s="31" t="str">
        <f aca="true">IF(F30="Pending payment",IF(G30="","",G30-TODAY()),"")</f>
        <v/>
      </c>
      <c r="I30" s="30"/>
      <c r="J30" s="27"/>
      <c r="K30" s="27"/>
      <c r="L30" s="32" t="str">
        <f aca="false">IF(E30="","",IF($M$1-N30=0,"This quarter",IF($M$1-N30=1,"Last quarter",IF($M$1-N30&lt;0,"Future","Older"))))</f>
        <v/>
      </c>
      <c r="N30" s="1" t="str">
        <f aca="false">IF(E30="","",YEAR(E30)*4+ROUNDUP(MONTH(E30)/3,0)-1)</f>
        <v/>
      </c>
    </row>
    <row r="31" customFormat="false" ht="15" hidden="false" customHeight="true" outlineLevel="0" collapsed="false">
      <c r="A31" s="27"/>
      <c r="B31" s="27"/>
      <c r="C31" s="28"/>
      <c r="D31" s="29"/>
      <c r="E31" s="30"/>
      <c r="F31" s="27"/>
      <c r="G31" s="30"/>
      <c r="H31" s="31" t="str">
        <f aca="true">IF(F31="Pending payment",IF(G31="","",G31-TODAY()),"")</f>
        <v/>
      </c>
      <c r="I31" s="30"/>
      <c r="J31" s="27"/>
      <c r="K31" s="27"/>
      <c r="L31" s="32" t="str">
        <f aca="false">IF(E31="","",IF($M$1-N31=0,"This quarter",IF($M$1-N31=1,"Last quarter",IF($M$1-N31&lt;0,"Future","Older"))))</f>
        <v/>
      </c>
      <c r="N31" s="1" t="str">
        <f aca="false">IF(E31="","",YEAR(E31)*4+ROUNDUP(MONTH(E31)/3,0)-1)</f>
        <v/>
      </c>
    </row>
    <row r="32" customFormat="false" ht="15" hidden="false" customHeight="true" outlineLevel="0" collapsed="false">
      <c r="A32" s="27"/>
      <c r="B32" s="27"/>
      <c r="C32" s="28"/>
      <c r="D32" s="29"/>
      <c r="E32" s="30"/>
      <c r="F32" s="27"/>
      <c r="G32" s="30"/>
      <c r="H32" s="31" t="str">
        <f aca="true">IF(F32="Pending payment",IF(G32="","",G32-TODAY()),"")</f>
        <v/>
      </c>
      <c r="I32" s="30"/>
      <c r="J32" s="27"/>
      <c r="K32" s="27"/>
      <c r="L32" s="32" t="str">
        <f aca="false">IF(E32="","",IF($M$1-N32=0,"This quarter",IF($M$1-N32=1,"Last quarter",IF($M$1-N32&lt;0,"Future","Older"))))</f>
        <v/>
      </c>
      <c r="N32" s="1" t="str">
        <f aca="false">IF(E32="","",YEAR(E32)*4+ROUNDUP(MONTH(E32)/3,0)-1)</f>
        <v/>
      </c>
    </row>
    <row r="33" customFormat="false" ht="15" hidden="false" customHeight="true" outlineLevel="0" collapsed="false">
      <c r="A33" s="27"/>
      <c r="B33" s="27"/>
      <c r="C33" s="28"/>
      <c r="D33" s="29"/>
      <c r="E33" s="30"/>
      <c r="F33" s="27"/>
      <c r="G33" s="30"/>
      <c r="H33" s="31" t="str">
        <f aca="true">IF(F33="Pending payment",IF(G33="","",G33-TODAY()),"")</f>
        <v/>
      </c>
      <c r="I33" s="30"/>
      <c r="J33" s="27"/>
      <c r="K33" s="27"/>
      <c r="L33" s="32" t="str">
        <f aca="false">IF(E33="","",IF($M$1-N33=0,"This quarter",IF($M$1-N33=1,"Last quarter",IF($M$1-N33&lt;0,"Future","Older"))))</f>
        <v/>
      </c>
      <c r="N33" s="1" t="str">
        <f aca="false">IF(E33="","",YEAR(E33)*4+ROUNDUP(MONTH(E33)/3,0)-1)</f>
        <v/>
      </c>
    </row>
    <row r="34" customFormat="false" ht="15" hidden="false" customHeight="true" outlineLevel="0" collapsed="false">
      <c r="A34" s="27"/>
      <c r="B34" s="27"/>
      <c r="C34" s="28"/>
      <c r="D34" s="29"/>
      <c r="E34" s="30"/>
      <c r="F34" s="27"/>
      <c r="G34" s="30"/>
      <c r="H34" s="31" t="str">
        <f aca="true">IF(F34="Pending payment",IF(G34="","",G34-TODAY()),"")</f>
        <v/>
      </c>
      <c r="I34" s="30"/>
      <c r="J34" s="27"/>
      <c r="K34" s="27"/>
      <c r="L34" s="32" t="str">
        <f aca="false">IF(E34="","",IF($M$1-N34=0,"This quarter",IF($M$1-N34=1,"Last quarter",IF($M$1-N34&lt;0,"Future","Older"))))</f>
        <v/>
      </c>
      <c r="N34" s="1" t="str">
        <f aca="false">IF(E34="","",YEAR(E34)*4+ROUNDUP(MONTH(E34)/3,0)-1)</f>
        <v/>
      </c>
    </row>
    <row r="35" customFormat="false" ht="15" hidden="false" customHeight="true" outlineLevel="0" collapsed="false">
      <c r="A35" s="27"/>
      <c r="B35" s="27"/>
      <c r="C35" s="28"/>
      <c r="D35" s="29"/>
      <c r="E35" s="30"/>
      <c r="F35" s="27"/>
      <c r="G35" s="30"/>
      <c r="H35" s="31" t="str">
        <f aca="true">IF(F35="Pending payment",IF(G35="","",G35-TODAY()),"")</f>
        <v/>
      </c>
      <c r="I35" s="30"/>
      <c r="J35" s="27"/>
      <c r="K35" s="27"/>
      <c r="L35" s="32" t="str">
        <f aca="false">IF(E35="","",IF($M$1-N35=0,"This quarter",IF($M$1-N35=1,"Last quarter",IF($M$1-N35&lt;0,"Future","Older"))))</f>
        <v/>
      </c>
      <c r="N35" s="1" t="str">
        <f aca="false">IF(E35="","",YEAR(E35)*4+ROUNDUP(MONTH(E35)/3,0)-1)</f>
        <v/>
      </c>
    </row>
    <row r="36" customFormat="false" ht="15" hidden="false" customHeight="true" outlineLevel="0" collapsed="false">
      <c r="A36" s="27"/>
      <c r="B36" s="27"/>
      <c r="C36" s="28"/>
      <c r="D36" s="29"/>
      <c r="E36" s="30"/>
      <c r="F36" s="27"/>
      <c r="G36" s="30"/>
      <c r="H36" s="31" t="str">
        <f aca="true">IF(F36="Pending payment",IF(G36="","",G36-TODAY()),"")</f>
        <v/>
      </c>
      <c r="I36" s="30"/>
      <c r="J36" s="27"/>
      <c r="K36" s="27"/>
      <c r="L36" s="32" t="str">
        <f aca="false">IF(E36="","",IF($M$1-N36=0,"This quarter",IF($M$1-N36=1,"Last quarter",IF($M$1-N36&lt;0,"Future","Older"))))</f>
        <v/>
      </c>
      <c r="N36" s="1" t="str">
        <f aca="false">IF(E36="","",YEAR(E36)*4+ROUNDUP(MONTH(E36)/3,0)-1)</f>
        <v/>
      </c>
    </row>
    <row r="37" customFormat="false" ht="15" hidden="false" customHeight="true" outlineLevel="0" collapsed="false">
      <c r="A37" s="27"/>
      <c r="B37" s="27"/>
      <c r="C37" s="28"/>
      <c r="D37" s="29"/>
      <c r="E37" s="30"/>
      <c r="F37" s="27"/>
      <c r="G37" s="30"/>
      <c r="H37" s="31" t="str">
        <f aca="true">IF(F37="Pending payment",IF(G37="","",G37-TODAY()),"")</f>
        <v/>
      </c>
      <c r="I37" s="30"/>
      <c r="J37" s="27"/>
      <c r="K37" s="27"/>
      <c r="L37" s="32" t="str">
        <f aca="false">IF(E37="","",IF($M$1-N37=0,"This quarter",IF($M$1-N37=1,"Last quarter",IF($M$1-N37&lt;0,"Future","Older"))))</f>
        <v/>
      </c>
      <c r="N37" s="1" t="str">
        <f aca="false">IF(E37="","",YEAR(E37)*4+ROUNDUP(MONTH(E37)/3,0)-1)</f>
        <v/>
      </c>
    </row>
    <row r="38" customFormat="false" ht="15" hidden="false" customHeight="true" outlineLevel="0" collapsed="false">
      <c r="A38" s="27"/>
      <c r="B38" s="27"/>
      <c r="C38" s="28"/>
      <c r="D38" s="29"/>
      <c r="E38" s="30"/>
      <c r="F38" s="27"/>
      <c r="G38" s="30"/>
      <c r="H38" s="31" t="str">
        <f aca="true">IF(F38="Pending payment",IF(G38="","",G38-TODAY()),"")</f>
        <v/>
      </c>
      <c r="I38" s="30"/>
      <c r="J38" s="27"/>
      <c r="K38" s="27"/>
      <c r="L38" s="32" t="str">
        <f aca="false">IF(E38="","",IF($M$1-N38=0,"This quarter",IF($M$1-N38=1,"Last quarter",IF($M$1-N38&lt;0,"Future","Older"))))</f>
        <v/>
      </c>
      <c r="N38" s="1" t="str">
        <f aca="false">IF(E38="","",YEAR(E38)*4+ROUNDUP(MONTH(E38)/3,0)-1)</f>
        <v/>
      </c>
    </row>
    <row r="39" customFormat="false" ht="15" hidden="false" customHeight="true" outlineLevel="0" collapsed="false">
      <c r="A39" s="27"/>
      <c r="B39" s="27"/>
      <c r="C39" s="28"/>
      <c r="D39" s="29"/>
      <c r="E39" s="30"/>
      <c r="F39" s="27"/>
      <c r="G39" s="30"/>
      <c r="H39" s="31" t="str">
        <f aca="true">IF(F39="Pending payment",IF(G39="","",G39-TODAY()),"")</f>
        <v/>
      </c>
      <c r="I39" s="30"/>
      <c r="J39" s="27"/>
      <c r="K39" s="27"/>
      <c r="L39" s="32" t="str">
        <f aca="false">IF(E39="","",IF($M$1-N39=0,"This quarter",IF($M$1-N39=1,"Last quarter",IF($M$1-N39&lt;0,"Future","Older"))))</f>
        <v/>
      </c>
      <c r="N39" s="1" t="str">
        <f aca="false">IF(E39="","",YEAR(E39)*4+ROUNDUP(MONTH(E39)/3,0)-1)</f>
        <v/>
      </c>
    </row>
    <row r="40" customFormat="false" ht="15" hidden="false" customHeight="true" outlineLevel="0" collapsed="false">
      <c r="A40" s="27"/>
      <c r="B40" s="27"/>
      <c r="C40" s="28"/>
      <c r="D40" s="29"/>
      <c r="E40" s="30"/>
      <c r="F40" s="27"/>
      <c r="G40" s="30"/>
      <c r="H40" s="31" t="str">
        <f aca="true">IF(F40="Pending payment",IF(G40="","",G40-TODAY()),"")</f>
        <v/>
      </c>
      <c r="I40" s="30"/>
      <c r="J40" s="27"/>
      <c r="K40" s="27"/>
      <c r="L40" s="32" t="str">
        <f aca="false">IF(E40="","",IF($M$1-N40=0,"This quarter",IF($M$1-N40=1,"Last quarter",IF($M$1-N40&lt;0,"Future","Older"))))</f>
        <v/>
      </c>
      <c r="N40" s="1" t="str">
        <f aca="false">IF(E40="","",YEAR(E40)*4+ROUNDUP(MONTH(E40)/3,0)-1)</f>
        <v/>
      </c>
    </row>
    <row r="41" customFormat="false" ht="15" hidden="false" customHeight="true" outlineLevel="0" collapsed="false">
      <c r="A41" s="27"/>
      <c r="B41" s="27"/>
      <c r="C41" s="28"/>
      <c r="D41" s="29"/>
      <c r="E41" s="30"/>
      <c r="F41" s="27"/>
      <c r="G41" s="30"/>
      <c r="H41" s="31" t="str">
        <f aca="true">IF(F41="Pending payment",IF(G41="","",G41-TODAY()),"")</f>
        <v/>
      </c>
      <c r="I41" s="30"/>
      <c r="J41" s="27"/>
      <c r="K41" s="27"/>
      <c r="L41" s="32" t="str">
        <f aca="false">IF(E41="","",IF($M$1-N41=0,"This quarter",IF($M$1-N41=1,"Last quarter",IF($M$1-N41&lt;0,"Future","Older"))))</f>
        <v/>
      </c>
      <c r="N41" s="1" t="str">
        <f aca="false">IF(E41="","",YEAR(E41)*4+ROUNDUP(MONTH(E41)/3,0)-1)</f>
        <v/>
      </c>
    </row>
    <row r="42" customFormat="false" ht="15" hidden="false" customHeight="true" outlineLevel="0" collapsed="false">
      <c r="A42" s="27"/>
      <c r="B42" s="27"/>
      <c r="C42" s="28"/>
      <c r="D42" s="29"/>
      <c r="E42" s="30"/>
      <c r="F42" s="27"/>
      <c r="G42" s="30"/>
      <c r="H42" s="31" t="str">
        <f aca="true">IF(F42="Pending payment",IF(G42="","",G42-TODAY()),"")</f>
        <v/>
      </c>
      <c r="I42" s="30"/>
      <c r="J42" s="27"/>
      <c r="K42" s="27"/>
      <c r="L42" s="32" t="str">
        <f aca="false">IF(E42="","",IF($M$1-N42=0,"This quarter",IF($M$1-N42=1,"Last quarter",IF($M$1-N42&lt;0,"Future","Older"))))</f>
        <v/>
      </c>
      <c r="N42" s="1" t="str">
        <f aca="false">IF(E42="","",YEAR(E42)*4+ROUNDUP(MONTH(E42)/3,0)-1)</f>
        <v/>
      </c>
    </row>
    <row r="43" customFormat="false" ht="15" hidden="false" customHeight="true" outlineLevel="0" collapsed="false">
      <c r="A43" s="27"/>
      <c r="B43" s="27"/>
      <c r="C43" s="28"/>
      <c r="D43" s="29"/>
      <c r="E43" s="30"/>
      <c r="F43" s="27"/>
      <c r="G43" s="30"/>
      <c r="H43" s="31" t="str">
        <f aca="true">IF(F43="Pending payment",IF(G43="","",G43-TODAY()),"")</f>
        <v/>
      </c>
      <c r="I43" s="30"/>
      <c r="J43" s="27"/>
      <c r="K43" s="27"/>
      <c r="L43" s="32" t="str">
        <f aca="false">IF(E43="","",IF($M$1-N43=0,"This quarter",IF($M$1-N43=1,"Last quarter",IF($M$1-N43&lt;0,"Future","Older"))))</f>
        <v/>
      </c>
      <c r="N43" s="1" t="str">
        <f aca="false">IF(E43="","",YEAR(E43)*4+ROUNDUP(MONTH(E43)/3,0)-1)</f>
        <v/>
      </c>
    </row>
    <row r="44" customFormat="false" ht="15" hidden="false" customHeight="true" outlineLevel="0" collapsed="false">
      <c r="A44" s="27"/>
      <c r="B44" s="27"/>
      <c r="C44" s="28"/>
      <c r="D44" s="29"/>
      <c r="E44" s="30"/>
      <c r="F44" s="27"/>
      <c r="G44" s="30"/>
      <c r="H44" s="31" t="str">
        <f aca="true">IF(F44="Pending payment",IF(G44="","",G44-TODAY()),"")</f>
        <v/>
      </c>
      <c r="I44" s="30"/>
      <c r="J44" s="27"/>
      <c r="K44" s="27"/>
      <c r="L44" s="32" t="str">
        <f aca="false">IF(E44="","",IF($M$1-N44=0,"This quarter",IF($M$1-N44=1,"Last quarter",IF($M$1-N44&lt;0,"Future","Older"))))</f>
        <v/>
      </c>
      <c r="N44" s="1" t="str">
        <f aca="false">IF(E44="","",YEAR(E44)*4+ROUNDUP(MONTH(E44)/3,0)-1)</f>
        <v/>
      </c>
    </row>
    <row r="45" customFormat="false" ht="15" hidden="false" customHeight="true" outlineLevel="0" collapsed="false">
      <c r="B45" s="34" t="s">
        <v>13</v>
      </c>
      <c r="C45" s="35" t="n">
        <f aca="false">SUM(C5:C44)</f>
        <v>1000</v>
      </c>
    </row>
    <row r="1048576" customFormat="false" ht="12.75" hidden="false" customHeight="true" outlineLevel="0" collapsed="false"/>
  </sheetData>
  <autoFilter ref="A4:L45"/>
  <dataValidations count="2">
    <dataValidation allowBlank="true" errorStyle="stop" operator="between" showDropDown="false" showErrorMessage="false" showInputMessage="false" sqref="F5:F44" type="list">
      <formula1>"Pending payment,Paid"</formula1>
      <formula2>0</formula2>
    </dataValidation>
    <dataValidation allowBlank="true" errorStyle="stop" operator="between" showDropDown="false" showErrorMessage="false" showInputMessage="false" sqref="J5:J44" type="list">
      <formula1>Projects!$N$1:$N$10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3" activeCellId="0" sqref="J13"/>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8"/>
    <col collapsed="false" customWidth="true" hidden="true" outlineLevel="0" max="6" min="6" style="1" width="13"/>
  </cols>
  <sheetData>
    <row r="2" customFormat="false" ht="19.5" hidden="false" customHeight="true" outlineLevel="0" collapsed="false">
      <c r="B2" s="24" t="s">
        <v>36</v>
      </c>
    </row>
    <row r="3" customFormat="false" ht="15" hidden="false" customHeight="true" outlineLevel="0" collapsed="false">
      <c r="B3" s="25" t="s">
        <v>37</v>
      </c>
    </row>
    <row r="5" customFormat="false" ht="15" hidden="false" customHeight="true" outlineLevel="0" collapsed="false">
      <c r="B5" s="36" t="s">
        <v>0</v>
      </c>
    </row>
    <row r="6" customFormat="false" ht="15" hidden="false" customHeight="true" outlineLevel="0" collapsed="false">
      <c r="B6" s="37" t="s">
        <v>38</v>
      </c>
      <c r="C6" s="35" t="n">
        <f aca="false">SUM(Projects!D5,Projects!D12,Projects!D19,Projects!D26,Projects!D33,Projects!D40,Projects!D47,Projects!D54,Projects!D61,Projects!D68)</f>
        <v>10000</v>
      </c>
    </row>
    <row r="7" customFormat="false" ht="15" hidden="false" customHeight="true" outlineLevel="0" collapsed="false">
      <c r="B7" s="37" t="s">
        <v>39</v>
      </c>
      <c r="C7" s="35" t="n">
        <f aca="false">SUM(Projects!F5,Projects!F12,Projects!F19,Projects!F26,Projects!F33,Projects!F40,Projects!F47,Projects!F54,Projects!F61,Projects!F68)</f>
        <v>1000</v>
      </c>
    </row>
    <row r="8" customFormat="false" ht="15" hidden="false" customHeight="true" outlineLevel="0" collapsed="false">
      <c r="B8" s="37" t="s">
        <v>40</v>
      </c>
      <c r="C8" s="35" t="n">
        <f aca="false">SUM(Projects!G5,Projects!G12,Projects!G19,Projects!G26,Projects!G33,Projects!G40,Projects!G47,Projects!G54,Projects!G61,Projects!G68)</f>
        <v>9000</v>
      </c>
    </row>
    <row r="9" customFormat="false" ht="15" hidden="false" customHeight="true" outlineLevel="0" collapsed="false">
      <c r="C9" s="10"/>
    </row>
    <row r="10" customFormat="false" ht="15" hidden="false" customHeight="true" outlineLevel="0" collapsed="false">
      <c r="B10" s="36" t="s">
        <v>24</v>
      </c>
      <c r="C10" s="10"/>
    </row>
    <row r="11" customFormat="false" ht="15" hidden="false" customHeight="true" outlineLevel="0" collapsed="false">
      <c r="B11" s="37" t="s">
        <v>41</v>
      </c>
      <c r="C11" s="35" t="n">
        <f aca="false">SUM(Invoices!C5:C44)</f>
        <v>1000</v>
      </c>
    </row>
    <row r="12" customFormat="false" ht="15" hidden="false" customHeight="true" outlineLevel="0" collapsed="false">
      <c r="B12" s="37" t="s">
        <v>42</v>
      </c>
      <c r="C12" s="35" t="n">
        <f aca="false">SUMIFS(Invoices!C5:C44,Invoices!F5:F44,"Pending payment")</f>
        <v>1000</v>
      </c>
    </row>
    <row r="13" customFormat="false" ht="15" hidden="false" customHeight="true" outlineLevel="0" collapsed="false">
      <c r="B13" s="37" t="s">
        <v>43</v>
      </c>
      <c r="C13" s="35" t="n">
        <f aca="false">SUMIFS(Invoices!C5:C44,Invoices!F5:F44,"Paid")</f>
        <v>0</v>
      </c>
    </row>
    <row r="14" customFormat="false" ht="15" hidden="false" customHeight="true" outlineLevel="0" collapsed="false">
      <c r="B14" s="37" t="s">
        <v>44</v>
      </c>
      <c r="C14" s="35" t="n">
        <f aca="true">SUMIFS(Invoices!C5:C44,Invoices!F5:F44,"Pending payment",Invoices!G5:G44,"&lt;"&amp;TODAY())</f>
        <v>0</v>
      </c>
    </row>
    <row r="15" customFormat="false" ht="15" hidden="false" customHeight="true" outlineLevel="0" collapsed="false">
      <c r="B15" s="37"/>
      <c r="C15" s="19"/>
    </row>
    <row r="16" customFormat="false" ht="15" hidden="false" customHeight="true" outlineLevel="0" collapsed="false">
      <c r="B16" s="36" t="s">
        <v>45</v>
      </c>
      <c r="C16" s="38" t="s">
        <v>46</v>
      </c>
      <c r="D16" s="38" t="s">
        <v>47</v>
      </c>
      <c r="F16" s="39" t="n">
        <f aca="true">TODAY()</f>
        <v>46247</v>
      </c>
    </row>
    <row r="17" customFormat="false" ht="15" hidden="false" customHeight="true" outlineLevel="0" collapsed="false">
      <c r="B17" s="37" t="s">
        <v>48</v>
      </c>
      <c r="C17" s="40" t="n">
        <f aca="false">SUMIFS(Invoices!$C$5:$C$44,Invoices!$E$5:$E$44,"&gt;="&amp;F18,Invoices!$E$5:$E$44,"&lt;"&amp;F19)</f>
        <v>0</v>
      </c>
      <c r="D17" s="41" t="n">
        <f aca="false">COUNTIFS(Invoices!$E$5:$E$44,"&gt;="&amp;F18,Invoices!$E$5:$E$44,"&lt;"&amp;F19)</f>
        <v>0</v>
      </c>
      <c r="F17" s="1" t="n">
        <f aca="false">ROUNDUP(MONTH(F16)/3,0)</f>
        <v>3</v>
      </c>
    </row>
    <row r="18" customFormat="false" ht="15" hidden="false" customHeight="true" outlineLevel="0" collapsed="false">
      <c r="B18" s="37" t="s">
        <v>49</v>
      </c>
      <c r="C18" s="40" t="n">
        <f aca="false">SUMIFS(Invoices!$C$5:$C$44,Invoices!$E$5:$E$44,"&gt;="&amp;F20,Invoices!$E$5:$E$44,"&lt;"&amp;F18)</f>
        <v>0</v>
      </c>
      <c r="D18" s="41" t="n">
        <f aca="false">COUNTIFS(Invoices!$E$5:$E$44,"&gt;="&amp;F20,Invoices!$E$5:$E$44,"&lt;"&amp;F18)</f>
        <v>0</v>
      </c>
      <c r="F18" s="39" t="n">
        <f aca="false">DATE(YEAR(F16),(F17-1)*3+1,1)</f>
        <v>46204</v>
      </c>
    </row>
    <row r="19" customFormat="false" ht="15" hidden="false" customHeight="true" outlineLevel="0" collapsed="false">
      <c r="B19" s="37" t="s">
        <v>50</v>
      </c>
      <c r="C19" s="40" t="n">
        <f aca="false">SUMIFS(Invoices!$C$5:$C$44,Invoices!$E$5:$E$44,"&gt;="&amp;F21,Invoices!$E$5:$E$44,"&lt;"&amp;F22)</f>
        <v>1000</v>
      </c>
      <c r="D19" s="41" t="n">
        <f aca="false">COUNTIFS(Invoices!$E$5:$E$44,"&gt;="&amp;F21,Invoices!$E$5:$E$44,"&lt;"&amp;F22)</f>
        <v>1</v>
      </c>
      <c r="F19" s="1" t="n">
        <f aca="false">EDATE(F18,3)</f>
        <v>46296</v>
      </c>
    </row>
    <row r="20" customFormat="false" ht="15" hidden="false" customHeight="true" outlineLevel="0" collapsed="false">
      <c r="B20" s="37" t="s">
        <v>51</v>
      </c>
      <c r="C20" s="40" t="n">
        <f aca="false">SUMIFS(Invoices!$C$5:$C$44,Invoices!$E$5:$E$44,"&gt;="&amp;F23,Invoices!$E$5:$E$44,"&lt;"&amp;F21)</f>
        <v>0</v>
      </c>
      <c r="D20" s="41" t="n">
        <f aca="false">COUNTIFS(Invoices!$E$5:$E$44,"&gt;="&amp;F23,Invoices!$E$5:$E$44,"&lt;"&amp;F21)</f>
        <v>0</v>
      </c>
      <c r="F20" s="1" t="n">
        <f aca="false">EDATE(F18,-3)</f>
        <v>46113</v>
      </c>
    </row>
    <row r="21" customFormat="false" ht="15" hidden="false" customHeight="true" outlineLevel="0" collapsed="false">
      <c r="B21" s="25" t="s">
        <v>52</v>
      </c>
      <c r="F21" s="39" t="n">
        <f aca="false">DATE(YEAR(F16),1,1)</f>
        <v>46023</v>
      </c>
    </row>
    <row r="22" customFormat="false" ht="15" hidden="false" customHeight="true" outlineLevel="0" collapsed="false">
      <c r="F22" s="39" t="n">
        <f aca="false">DATE(YEAR(F16)+1,1,1)</f>
        <v>46388</v>
      </c>
    </row>
    <row r="23" customFormat="false" ht="15" hidden="false" customHeight="true" outlineLevel="0" collapsed="false">
      <c r="F23" s="39" t="n">
        <f aca="false">DATE(YEAR(F16)-1,1,1)</f>
        <v>45658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2026-07-30T07:36:45Z</dcterms:created>
  <dc:creator>openpyxl</dc:creator>
  <dc:description/>
  <dc:language>en-US</dc:language>
  <cp:lastModifiedBy/>
  <dcterms:modified xsi:type="dcterms:W3CDTF">2026-08-13T07:01:21Z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